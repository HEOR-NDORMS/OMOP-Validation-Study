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0952_ox_ac_uk/Documents/OMOP_Validation study/"/>
    </mc:Choice>
  </mc:AlternateContent>
  <xr:revisionPtr revIDLastSave="28" documentId="8_{0E916BD4-B8D0-400C-9910-41282298A7A0}" xr6:coauthVersionLast="47" xr6:coauthVersionMax="47" xr10:uidLastSave="{51012A6B-25CC-4CBB-9657-AA9249C91844}"/>
  <bookViews>
    <workbookView xWindow="30780" yWindow="1575" windowWidth="21600" windowHeight="11295" xr2:uid="{434EC9B3-4EB4-4683-B0C6-A3C35AC73F06}"/>
  </bookViews>
  <sheets>
    <sheet name="Sheet1" sheetId="2" r:id="rId1"/>
  </sheets>
  <definedNames>
    <definedName name="_xlnm._FilterDatabase" localSheetId="0" hidden="1">Sheet1!$A$1:$E$157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E11" i="2"/>
  <c r="E12" i="2"/>
  <c r="E48" i="2"/>
  <c r="E32" i="2"/>
  <c r="E64" i="2"/>
  <c r="E37" i="2"/>
  <c r="E65" i="2"/>
  <c r="E41" i="2"/>
  <c r="E76" i="2"/>
  <c r="E33" i="2"/>
  <c r="E50" i="2"/>
  <c r="E43" i="2"/>
  <c r="E51" i="2"/>
  <c r="E52" i="2"/>
  <c r="E54" i="2"/>
  <c r="E104" i="2"/>
  <c r="E100" i="2"/>
  <c r="E105" i="2"/>
  <c r="E106" i="2"/>
  <c r="E28" i="2"/>
  <c r="E90" i="2"/>
  <c r="E26" i="2"/>
  <c r="E36" i="2"/>
  <c r="E78" i="2"/>
  <c r="E27" i="2"/>
  <c r="E38" i="2"/>
  <c r="E31" i="2"/>
  <c r="E99" i="2"/>
  <c r="E29" i="2"/>
  <c r="E34" i="2"/>
  <c r="E23" i="2"/>
  <c r="E49" i="2"/>
  <c r="E35" i="2"/>
  <c r="E25" i="2"/>
  <c r="E107" i="2"/>
  <c r="E108" i="2"/>
  <c r="E53" i="2"/>
  <c r="E40" i="2"/>
  <c r="E47" i="2"/>
  <c r="E24" i="2"/>
  <c r="E116" i="2"/>
  <c r="E60" i="2"/>
  <c r="E96" i="2"/>
  <c r="E113" i="2"/>
  <c r="E114" i="2"/>
  <c r="E98" i="2"/>
  <c r="E63" i="2"/>
  <c r="E67" i="2"/>
  <c r="E115" i="2"/>
  <c r="E62" i="2"/>
  <c r="E118" i="2"/>
  <c r="E73" i="2"/>
  <c r="E61" i="2"/>
  <c r="E57" i="2"/>
  <c r="E77" i="2"/>
  <c r="E112" i="2"/>
  <c r="E91" i="2"/>
  <c r="E44" i="2"/>
  <c r="E66" i="2"/>
  <c r="E45" i="2"/>
  <c r="E46" i="2"/>
  <c r="E68" i="2"/>
  <c r="E127" i="2"/>
  <c r="E59" i="2"/>
  <c r="E119" i="2"/>
  <c r="E120" i="2"/>
  <c r="E121" i="2"/>
  <c r="E122" i="2"/>
  <c r="E84" i="2"/>
  <c r="E101" i="2"/>
  <c r="E102" i="2"/>
  <c r="E103" i="2"/>
  <c r="E109" i="2"/>
  <c r="E71" i="2"/>
  <c r="E72" i="2"/>
  <c r="E110" i="2"/>
  <c r="E70" i="2"/>
  <c r="E55" i="2"/>
  <c r="E111" i="2"/>
  <c r="E85" i="2"/>
  <c r="E30" i="2"/>
  <c r="E69" i="2"/>
  <c r="E86" i="2"/>
  <c r="E82" i="2"/>
  <c r="E87" i="2"/>
  <c r="E56" i="2"/>
  <c r="E92" i="2"/>
  <c r="E42" i="2"/>
  <c r="E79" i="2"/>
  <c r="E93" i="2"/>
  <c r="E80" i="2"/>
  <c r="E94" i="2"/>
  <c r="E81" i="2"/>
  <c r="E88" i="2"/>
  <c r="E95" i="2"/>
  <c r="E83" i="2"/>
  <c r="E89" i="2"/>
  <c r="E123" i="2"/>
  <c r="E125" i="2"/>
  <c r="E97" i="2"/>
  <c r="E58" i="2"/>
  <c r="E74" i="2"/>
  <c r="E124" i="2"/>
  <c r="E75" i="2"/>
  <c r="E131" i="2"/>
  <c r="E132" i="2"/>
  <c r="E133" i="2"/>
  <c r="E134" i="2"/>
  <c r="E142" i="2"/>
  <c r="E141" i="2"/>
  <c r="E145" i="2"/>
  <c r="E143" i="2"/>
  <c r="E148" i="2"/>
  <c r="E149" i="2"/>
  <c r="E147" i="2"/>
  <c r="E154" i="2"/>
  <c r="E155" i="2"/>
  <c r="E153" i="2"/>
  <c r="E17" i="2"/>
  <c r="E16" i="2"/>
  <c r="E18" i="2"/>
  <c r="E126" i="2"/>
  <c r="E117" i="2"/>
  <c r="E135" i="2"/>
  <c r="E136" i="2"/>
  <c r="E129" i="2"/>
  <c r="E137" i="2"/>
  <c r="E130" i="2"/>
  <c r="E151" i="2"/>
  <c r="E152" i="2"/>
  <c r="E140" i="2"/>
  <c r="E3" i="2"/>
  <c r="E8" i="2"/>
  <c r="E10" i="2"/>
  <c r="E13" i="2"/>
  <c r="E19" i="2"/>
  <c r="E20" i="2"/>
  <c r="E21" i="2"/>
  <c r="E22" i="2"/>
  <c r="E39" i="2"/>
  <c r="E128" i="2"/>
  <c r="E144" i="2"/>
  <c r="E146" i="2"/>
  <c r="E150" i="2"/>
  <c r="E2" i="2"/>
  <c r="E5" i="2"/>
  <c r="E6" i="2"/>
  <c r="E9" i="2"/>
  <c r="E14" i="2"/>
  <c r="E15" i="2"/>
  <c r="E138" i="2"/>
  <c r="E139" i="2"/>
  <c r="E156" i="2"/>
  <c r="E157" i="2"/>
  <c r="E4" i="2"/>
</calcChain>
</file>

<file path=xl/sharedStrings.xml><?xml version="1.0" encoding="utf-8"?>
<sst xmlns="http://schemas.openxmlformats.org/spreadsheetml/2006/main" count="316" uniqueCount="190">
  <si>
    <t>Clinical Psychologist</t>
  </si>
  <si>
    <t>Behavioral Health &amp; Social Service Providers, Psychologist, Clinical</t>
  </si>
  <si>
    <t>Specialist Nurse Practitioner</t>
  </si>
  <si>
    <t>Clinical Nurse Specialist</t>
  </si>
  <si>
    <t>Community Practitioner</t>
  </si>
  <si>
    <t>Community Health Nurse Practitioner</t>
  </si>
  <si>
    <t>Community Mental Health Nurse</t>
  </si>
  <si>
    <t>Community Psych / Mental Health Nurse</t>
  </si>
  <si>
    <t>Therapist</t>
  </si>
  <si>
    <t>Marriage and Family Therapist</t>
  </si>
  <si>
    <t>Health Care Support Worker</t>
  </si>
  <si>
    <t>Medical Physician Assistant</t>
  </si>
  <si>
    <t>Gateway Worker</t>
  </si>
  <si>
    <t>Mental Health Counselor</t>
  </si>
  <si>
    <t>Midwife</t>
  </si>
  <si>
    <t>Associate Practitioner - Nurse</t>
  </si>
  <si>
    <t>Nurse Practitioner</t>
  </si>
  <si>
    <t>Pharmacist</t>
  </si>
  <si>
    <t>Phlebotomist</t>
  </si>
  <si>
    <t>Physiotherapist</t>
  </si>
  <si>
    <t>Physical Hand Therapist</t>
  </si>
  <si>
    <t>Clinical Coder</t>
  </si>
  <si>
    <t>Physician Office Based Coding Specialist</t>
  </si>
  <si>
    <t>Chiropodist/Podiatrist</t>
  </si>
  <si>
    <t>Podiatrist</t>
  </si>
  <si>
    <t>Counsellor</t>
  </si>
  <si>
    <t>Professional Behavioral Health Counselor</t>
  </si>
  <si>
    <t>Radiographer</t>
  </si>
  <si>
    <t>Radiography Technologist</t>
  </si>
  <si>
    <t>Community Nurse</t>
  </si>
  <si>
    <t>Registered Community Health Nurse</t>
  </si>
  <si>
    <t>Dietitian</t>
  </si>
  <si>
    <t>Registered Dietitian</t>
  </si>
  <si>
    <t>Nursery Nurse</t>
  </si>
  <si>
    <t>Registered School Nurse</t>
  </si>
  <si>
    <t>Social Worker</t>
  </si>
  <si>
    <t>Medical Student</t>
  </si>
  <si>
    <t>Student</t>
  </si>
  <si>
    <t>Clinical Assistant</t>
  </si>
  <si>
    <t>Surgical Physician Assistant</t>
  </si>
  <si>
    <t>Manager</t>
  </si>
  <si>
    <t>Case Manager / Care Coordinator</t>
  </si>
  <si>
    <t>Senior Manager</t>
  </si>
  <si>
    <t>Community Administrator</t>
  </si>
  <si>
    <t>Community Health Worker</t>
  </si>
  <si>
    <t>Other Community Health Service</t>
  </si>
  <si>
    <t>General Medical Practitioner</t>
  </si>
  <si>
    <t>General Practice</t>
  </si>
  <si>
    <t>Salaried General Practitioner</t>
  </si>
  <si>
    <t>Desktop Support Administrator</t>
  </si>
  <si>
    <t>Health Information Technician</t>
  </si>
  <si>
    <t>Analyst</t>
  </si>
  <si>
    <t>Sessional GP</t>
  </si>
  <si>
    <t>No matching concept</t>
  </si>
  <si>
    <t>GP Registrar</t>
  </si>
  <si>
    <t>Locum GP</t>
  </si>
  <si>
    <t>Consultant</t>
  </si>
  <si>
    <t>Enrolled Nurse</t>
  </si>
  <si>
    <t>Appointments Clerk</t>
  </si>
  <si>
    <t>Technician - Admin &amp; Clerical</t>
  </si>
  <si>
    <t>Other Community Health Service - Admin Clerk</t>
  </si>
  <si>
    <t>Network Administrator</t>
  </si>
  <si>
    <t>Clinical Application Administrator</t>
  </si>
  <si>
    <t>Practitioner</t>
  </si>
  <si>
    <t>Health Records Clerk</t>
  </si>
  <si>
    <t>Helper/Assistant</t>
  </si>
  <si>
    <t>Helpdesk Technician</t>
  </si>
  <si>
    <t>Caldicott Guardian</t>
  </si>
  <si>
    <t>Information Officer</t>
  </si>
  <si>
    <t>Associate Practitioner</t>
  </si>
  <si>
    <t>Network Technician</t>
  </si>
  <si>
    <t>Staff Grade</t>
  </si>
  <si>
    <t>Medical Records Manager</t>
  </si>
  <si>
    <t>Officer</t>
  </si>
  <si>
    <t>Assistant GP</t>
  </si>
  <si>
    <t>House Officer - Post Registration</t>
  </si>
  <si>
    <t>Paramedic Manager</t>
  </si>
  <si>
    <t>Deputising Doctor</t>
  </si>
  <si>
    <t>Art Therapist</t>
  </si>
  <si>
    <t>Osteopath</t>
  </si>
  <si>
    <t>Clinical Director - Medical</t>
  </si>
  <si>
    <t>Art Therapist Manager</t>
  </si>
  <si>
    <t>Availability Monitor</t>
  </si>
  <si>
    <t>Child Protection worker</t>
  </si>
  <si>
    <t>Trainee Practitioner</t>
  </si>
  <si>
    <t>Radiologist</t>
  </si>
  <si>
    <t>Hospital Practitioner</t>
  </si>
  <si>
    <t>Finance Director</t>
  </si>
  <si>
    <t>Intermediate Care staff</t>
  </si>
  <si>
    <t>Porter</t>
  </si>
  <si>
    <t>Medical Technical Officer</t>
  </si>
  <si>
    <t>Student Practice Nurse</t>
  </si>
  <si>
    <t>Senior House Officer</t>
  </si>
  <si>
    <t>Waiting List Manager</t>
  </si>
  <si>
    <t>Physiotherapist Specialist Practitioner</t>
  </si>
  <si>
    <t>Physiotherapist Manager</t>
  </si>
  <si>
    <t>Outpatient Manager</t>
  </si>
  <si>
    <t>Clinical Team Manager</t>
  </si>
  <si>
    <t>Call Operator</t>
  </si>
  <si>
    <t>Patient Welfare Officer</t>
  </si>
  <si>
    <t>Researcher</t>
  </si>
  <si>
    <t>Clinical Director</t>
  </si>
  <si>
    <t>Community Team Manager</t>
  </si>
  <si>
    <t>Psychotherapist</t>
  </si>
  <si>
    <t>Regional Dental Officer</t>
  </si>
  <si>
    <t>Physiotherapist Consultant</t>
  </si>
  <si>
    <t>Student Nurse - Adult Branch</t>
  </si>
  <si>
    <t>Art Therapist Specialist Practitioner</t>
  </si>
  <si>
    <t>Specialist Registrar</t>
  </si>
  <si>
    <t>House Officer - Pre Registration</t>
  </si>
  <si>
    <t>Paramedic Consultant</t>
  </si>
  <si>
    <t>Art Therapist Consultant</t>
  </si>
  <si>
    <t>Chiropodist/Podiatrist Specialist Practitioner</t>
  </si>
  <si>
    <t>Occupational Therapist</t>
  </si>
  <si>
    <t>Healthcare Scientist</t>
  </si>
  <si>
    <t>Ward Clerk</t>
  </si>
  <si>
    <t>Optometrist</t>
  </si>
  <si>
    <t>Audiologist</t>
  </si>
  <si>
    <t>Other Community Health Service - Social Care Worker</t>
  </si>
  <si>
    <t>Director of Nursing</t>
  </si>
  <si>
    <t>Audit Manager</t>
  </si>
  <si>
    <t>Radiographer - Diagnostic, Manager</t>
  </si>
  <si>
    <t>Multi Therapist</t>
  </si>
  <si>
    <t>Trust Grade Doctor - SHO level</t>
  </si>
  <si>
    <t>Radiographer - Diagnostic, Specialist Practitioner</t>
  </si>
  <si>
    <t>Student Community Practitioner</t>
  </si>
  <si>
    <t>Chiropodist/Podiatrist Consultant</t>
  </si>
  <si>
    <t>Ward Manager</t>
  </si>
  <si>
    <t>Healthcare Cadet</t>
  </si>
  <si>
    <t>Technician - Healthcare Scientists</t>
  </si>
  <si>
    <t>Clinical Medical Officer</t>
  </si>
  <si>
    <t>Dietitian Specialist Practitioner</t>
  </si>
  <si>
    <t>Dietitian Consultant</t>
  </si>
  <si>
    <t>Orthoptist Manager</t>
  </si>
  <si>
    <t>Chiropodist/Podiatrist Manager</t>
  </si>
  <si>
    <t>Radiographer - Diagnostic</t>
  </si>
  <si>
    <t>Social Care Support Worker</t>
  </si>
  <si>
    <t>Biomedical Scientist</t>
  </si>
  <si>
    <t>Student Physiotherapist</t>
  </si>
  <si>
    <t>Technician - Additional Clinical Services</t>
  </si>
  <si>
    <t>Waiting List Clerk</t>
  </si>
  <si>
    <t>Asst. Clinical Medical Officer</t>
  </si>
  <si>
    <t>Pre-reg Pharmacist</t>
  </si>
  <si>
    <t>Social work assistant (mental health)</t>
  </si>
  <si>
    <t>Dietitian Manager</t>
  </si>
  <si>
    <t>Healthcare Science Assistant</t>
  </si>
  <si>
    <t>Midwife - Sister/Charge Nurse</t>
  </si>
  <si>
    <t>Student District Nurse</t>
  </si>
  <si>
    <t>Medical Director</t>
  </si>
  <si>
    <t>Multi Therapist Specialist Practitioner</t>
  </si>
  <si>
    <t>Student Technician</t>
  </si>
  <si>
    <t>Receptionist</t>
  </si>
  <si>
    <t>Other Technician</t>
  </si>
  <si>
    <t>Senior Administrator</t>
  </si>
  <si>
    <t>Secretary</t>
  </si>
  <si>
    <t>System Worker</t>
  </si>
  <si>
    <t>Helpdesk Administrator</t>
  </si>
  <si>
    <t>Desktop Support Technician</t>
  </si>
  <si>
    <t>Paramedic</t>
  </si>
  <si>
    <t>Paramedic Specialist Practitioner</t>
  </si>
  <si>
    <t>Dispenser</t>
  </si>
  <si>
    <t>Pharmacy Technician</t>
  </si>
  <si>
    <t>Medical Technical Officer - Pharmacy</t>
  </si>
  <si>
    <t>Healthcare Assistant</t>
  </si>
  <si>
    <t>Physician Assistant</t>
  </si>
  <si>
    <t>Associate Practitioner - General Practitioner</t>
  </si>
  <si>
    <t>Assistant Practitioner</t>
  </si>
  <si>
    <t>Nurse Manager</t>
  </si>
  <si>
    <t>Registered General Practice Nurse</t>
  </si>
  <si>
    <t>Nurse Consultant</t>
  </si>
  <si>
    <t>Modern Matron</t>
  </si>
  <si>
    <t>Staff Nurse</t>
  </si>
  <si>
    <t>Registered Nurse</t>
  </si>
  <si>
    <t>Sister/Charge Nurse</t>
  </si>
  <si>
    <t>Clerical Worker</t>
  </si>
  <si>
    <t>Registered Record Administrator</t>
  </si>
  <si>
    <t>System Administrator</t>
  </si>
  <si>
    <t>Medical Secretary</t>
  </si>
  <si>
    <t>Medical Records Clerk</t>
  </si>
  <si>
    <t>Health Records Administrator</t>
  </si>
  <si>
    <t>Advanced Practitioner</t>
  </si>
  <si>
    <t>Specialist</t>
  </si>
  <si>
    <t>Associate Specialist</t>
  </si>
  <si>
    <t>Specialist Practitioner</t>
  </si>
  <si>
    <t>Support, Time, Recovery Worker</t>
  </si>
  <si>
    <t>Mental Retardation and Developmental Disability Psychologist</t>
  </si>
  <si>
    <t>source_specialties</t>
  </si>
  <si>
    <t>unit_cost_source</t>
  </si>
  <si>
    <t>omop_specialties</t>
  </si>
  <si>
    <t>unit_cost_omop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</si>
</sst>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44" fontId="2" fillId="0" borderId="0" xfId="1" applyFont="1" applyAlignment="1">
      <alignment horizontal="center"/>
    </xf>
    <xf numFmtId="0" fontId="2" fillId="0" borderId="0" xfId="0" applyFont="1"/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A7057-86A1-4EAF-AB72-C11C72F12BB7}">
  <dimension ref="A1:E157"/>
  <sheetViews>
    <sheetView tabSelected="1" workbookViewId="0">
      <selection activeCell="C2" sqref="C2:D157"/>
    </sheetView>
  </sheetViews>
  <sheetFormatPr defaultColWidth="36.85546875" defaultRowHeight="15" x14ac:dyDescent="0.25"/>
  <sheetData>
    <row r="1" spans="1:5" s="4" customFormat="1" x14ac:dyDescent="0.25">
      <c r="A1" s="4" t="s">
        <v>186</v>
      </c>
      <c r="B1" s="2" t="s">
        <v>187</v>
      </c>
      <c r="C1" s="3" t="s">
        <v>188</v>
      </c>
      <c r="D1" s="1" t="s">
        <v>189</v>
      </c>
    </row>
    <row r="2" spans="1:5" x14ac:dyDescent="0.25">
      <c r="A2" t="s">
        <v>0</v>
      </c>
      <c r="B2">
        <v>22.666666666666664</v>
      </c>
      <c r="C2" t="s">
        <v>1</v>
      </c>
      <c r="D2">
        <v>22.666666666666664</v>
      </c>
      <c r="E2">
        <f t="shared" ref="E2:E33" si="0">B2-D2</f>
        <v>0</v>
      </c>
    </row>
    <row r="3" spans="1:5" x14ac:dyDescent="0.25">
      <c r="A3" t="s">
        <v>40</v>
      </c>
      <c r="B3">
        <v>6.2210264075734933</v>
      </c>
      <c r="C3" t="s">
        <v>41</v>
      </c>
      <c r="D3">
        <v>7.6376183358246141</v>
      </c>
      <c r="E3">
        <f t="shared" si="0"/>
        <v>-1.4165919282511208</v>
      </c>
    </row>
    <row r="4" spans="1:5" x14ac:dyDescent="0.25">
      <c r="A4" t="s">
        <v>42</v>
      </c>
      <c r="B4">
        <v>9.0542102640757349</v>
      </c>
      <c r="C4" t="s">
        <v>41</v>
      </c>
      <c r="D4">
        <v>7.6376183358246141</v>
      </c>
      <c r="E4">
        <f t="shared" si="0"/>
        <v>1.4165919282511208</v>
      </c>
    </row>
    <row r="5" spans="1:5" x14ac:dyDescent="0.25">
      <c r="A5" t="s">
        <v>2</v>
      </c>
      <c r="B5">
        <v>29</v>
      </c>
      <c r="C5" t="s">
        <v>3</v>
      </c>
      <c r="D5">
        <v>29</v>
      </c>
      <c r="E5">
        <f t="shared" si="0"/>
        <v>0</v>
      </c>
    </row>
    <row r="6" spans="1:5" x14ac:dyDescent="0.25">
      <c r="A6" t="s">
        <v>4</v>
      </c>
      <c r="B6">
        <v>74</v>
      </c>
      <c r="C6" t="s">
        <v>5</v>
      </c>
      <c r="D6">
        <v>74</v>
      </c>
      <c r="E6">
        <f t="shared" si="0"/>
        <v>0</v>
      </c>
    </row>
    <row r="7" spans="1:5" x14ac:dyDescent="0.25">
      <c r="A7" t="s">
        <v>43</v>
      </c>
      <c r="B7">
        <v>3.0132536123567517</v>
      </c>
      <c r="C7" t="s">
        <v>44</v>
      </c>
      <c r="D7">
        <v>3.0618834080717492</v>
      </c>
      <c r="E7">
        <f t="shared" si="0"/>
        <v>-4.8629795714997481E-2</v>
      </c>
    </row>
    <row r="8" spans="1:5" x14ac:dyDescent="0.25">
      <c r="A8" t="s">
        <v>45</v>
      </c>
      <c r="B8">
        <v>3.1105132037867467</v>
      </c>
      <c r="C8" t="s">
        <v>44</v>
      </c>
      <c r="D8">
        <v>3.0618834080717492</v>
      </c>
      <c r="E8">
        <f t="shared" si="0"/>
        <v>4.8629795714997481E-2</v>
      </c>
    </row>
    <row r="9" spans="1:5" x14ac:dyDescent="0.25">
      <c r="A9" t="s">
        <v>6</v>
      </c>
      <c r="B9">
        <v>19.333333333333332</v>
      </c>
      <c r="C9" t="s">
        <v>7</v>
      </c>
      <c r="D9">
        <v>19.333333333333332</v>
      </c>
      <c r="E9">
        <f t="shared" si="0"/>
        <v>0</v>
      </c>
    </row>
    <row r="10" spans="1:5" x14ac:dyDescent="0.25">
      <c r="A10" t="s">
        <v>46</v>
      </c>
      <c r="B10">
        <v>55.5</v>
      </c>
      <c r="C10" t="s">
        <v>47</v>
      </c>
      <c r="D10">
        <v>55.5</v>
      </c>
      <c r="E10">
        <f t="shared" si="0"/>
        <v>0</v>
      </c>
    </row>
    <row r="11" spans="1:5" x14ac:dyDescent="0.25">
      <c r="A11" t="s">
        <v>48</v>
      </c>
      <c r="B11">
        <v>55.5</v>
      </c>
      <c r="C11" t="s">
        <v>47</v>
      </c>
      <c r="D11">
        <v>55.5</v>
      </c>
      <c r="E11">
        <f t="shared" si="0"/>
        <v>0</v>
      </c>
    </row>
    <row r="12" spans="1:5" x14ac:dyDescent="0.25">
      <c r="A12" t="s">
        <v>49</v>
      </c>
      <c r="B12">
        <v>0.30132536123567516</v>
      </c>
      <c r="C12" t="s">
        <v>50</v>
      </c>
      <c r="D12">
        <v>0.90397608370702554</v>
      </c>
      <c r="E12">
        <f t="shared" si="0"/>
        <v>-0.60265072247135043</v>
      </c>
    </row>
    <row r="13" spans="1:5" x14ac:dyDescent="0.25">
      <c r="A13" t="s">
        <v>51</v>
      </c>
      <c r="B13">
        <v>1.5066268061783759</v>
      </c>
      <c r="C13" t="s">
        <v>50</v>
      </c>
      <c r="D13">
        <v>0.90397608370702554</v>
      </c>
      <c r="E13">
        <f t="shared" si="0"/>
        <v>0.60265072247135032</v>
      </c>
    </row>
    <row r="14" spans="1:5" x14ac:dyDescent="0.25">
      <c r="A14" t="s">
        <v>8</v>
      </c>
      <c r="B14">
        <v>19</v>
      </c>
      <c r="C14" t="s">
        <v>9</v>
      </c>
      <c r="D14">
        <v>19</v>
      </c>
      <c r="E14">
        <f t="shared" si="0"/>
        <v>0</v>
      </c>
    </row>
    <row r="15" spans="1:5" x14ac:dyDescent="0.25">
      <c r="A15" t="s">
        <v>10</v>
      </c>
      <c r="B15">
        <v>4.5807673143996013</v>
      </c>
      <c r="C15" t="s">
        <v>11</v>
      </c>
      <c r="D15">
        <v>4.5807673143996013</v>
      </c>
      <c r="E15">
        <f t="shared" si="0"/>
        <v>0</v>
      </c>
    </row>
    <row r="16" spans="1:5" x14ac:dyDescent="0.25">
      <c r="A16" t="s">
        <v>12</v>
      </c>
      <c r="B16">
        <v>17</v>
      </c>
      <c r="C16" t="s">
        <v>13</v>
      </c>
      <c r="D16">
        <v>17</v>
      </c>
      <c r="E16">
        <f t="shared" si="0"/>
        <v>0</v>
      </c>
    </row>
    <row r="17" spans="1:5" x14ac:dyDescent="0.25">
      <c r="A17" t="s">
        <v>184</v>
      </c>
      <c r="B17">
        <v>0.35506726457399101</v>
      </c>
      <c r="C17" t="s">
        <v>185</v>
      </c>
      <c r="D17">
        <v>0.35506726457399101</v>
      </c>
      <c r="E17">
        <f t="shared" si="0"/>
        <v>0</v>
      </c>
    </row>
    <row r="18" spans="1:5" x14ac:dyDescent="0.25">
      <c r="A18" t="s">
        <v>14</v>
      </c>
      <c r="B18">
        <v>19.333333333333332</v>
      </c>
      <c r="C18" t="s">
        <v>14</v>
      </c>
      <c r="D18">
        <v>19.333333333333332</v>
      </c>
      <c r="E18">
        <f t="shared" si="0"/>
        <v>0</v>
      </c>
    </row>
    <row r="19" spans="1:5" x14ac:dyDescent="0.25">
      <c r="A19" t="s">
        <v>58</v>
      </c>
      <c r="B19">
        <v>0.30132536123567516</v>
      </c>
      <c r="C19" t="s">
        <v>53</v>
      </c>
      <c r="D19">
        <v>18.607298231699254</v>
      </c>
      <c r="E19">
        <f t="shared" si="0"/>
        <v>-18.305972870463577</v>
      </c>
    </row>
    <row r="20" spans="1:5" x14ac:dyDescent="0.25">
      <c r="A20" t="s">
        <v>62</v>
      </c>
      <c r="B20">
        <v>0.30132536123567516</v>
      </c>
      <c r="C20" t="s">
        <v>53</v>
      </c>
      <c r="D20">
        <v>18.607298231699254</v>
      </c>
      <c r="E20">
        <f t="shared" si="0"/>
        <v>-18.305972870463577</v>
      </c>
    </row>
    <row r="21" spans="1:5" x14ac:dyDescent="0.25">
      <c r="A21" t="s">
        <v>61</v>
      </c>
      <c r="B21">
        <v>0.30132536123567516</v>
      </c>
      <c r="C21" t="s">
        <v>53</v>
      </c>
      <c r="D21">
        <v>18.607298231699254</v>
      </c>
      <c r="E21">
        <f t="shared" si="0"/>
        <v>-18.305972870463577</v>
      </c>
    </row>
    <row r="22" spans="1:5" x14ac:dyDescent="0.25">
      <c r="A22" t="s">
        <v>59</v>
      </c>
      <c r="B22">
        <v>0.30132536123567516</v>
      </c>
      <c r="C22" t="s">
        <v>53</v>
      </c>
      <c r="D22">
        <v>18.607298231699254</v>
      </c>
      <c r="E22">
        <f t="shared" si="0"/>
        <v>-18.305972870463577</v>
      </c>
    </row>
    <row r="23" spans="1:5" x14ac:dyDescent="0.25">
      <c r="A23" t="s">
        <v>82</v>
      </c>
      <c r="B23">
        <v>0.30132536123567516</v>
      </c>
      <c r="C23" t="s">
        <v>53</v>
      </c>
      <c r="D23">
        <v>18.607298231699254</v>
      </c>
      <c r="E23">
        <f t="shared" si="0"/>
        <v>-18.305972870463577</v>
      </c>
    </row>
    <row r="24" spans="1:5" x14ac:dyDescent="0.25">
      <c r="A24" t="s">
        <v>66</v>
      </c>
      <c r="B24">
        <v>0.30132536123567516</v>
      </c>
      <c r="C24" t="s">
        <v>53</v>
      </c>
      <c r="D24">
        <v>18.607298231699254</v>
      </c>
      <c r="E24">
        <f t="shared" si="0"/>
        <v>-18.305972870463577</v>
      </c>
    </row>
    <row r="25" spans="1:5" x14ac:dyDescent="0.25">
      <c r="A25" t="s">
        <v>68</v>
      </c>
      <c r="B25">
        <v>0.30132536123567516</v>
      </c>
      <c r="C25" t="s">
        <v>53</v>
      </c>
      <c r="D25">
        <v>18.607298231699254</v>
      </c>
      <c r="E25">
        <f t="shared" si="0"/>
        <v>-18.305972870463577</v>
      </c>
    </row>
    <row r="26" spans="1:5" x14ac:dyDescent="0.25">
      <c r="A26" t="s">
        <v>72</v>
      </c>
      <c r="B26">
        <v>0.30132536123567516</v>
      </c>
      <c r="C26" t="s">
        <v>53</v>
      </c>
      <c r="D26">
        <v>18.607298231699254</v>
      </c>
      <c r="E26">
        <f t="shared" si="0"/>
        <v>-18.305972870463577</v>
      </c>
    </row>
    <row r="27" spans="1:5" x14ac:dyDescent="0.25">
      <c r="A27" t="s">
        <v>70</v>
      </c>
      <c r="B27">
        <v>0.30132536123567516</v>
      </c>
      <c r="C27" t="s">
        <v>53</v>
      </c>
      <c r="D27">
        <v>18.607298231699254</v>
      </c>
      <c r="E27">
        <f t="shared" si="0"/>
        <v>-18.305972870463577</v>
      </c>
    </row>
    <row r="28" spans="1:5" x14ac:dyDescent="0.25">
      <c r="A28" t="s">
        <v>60</v>
      </c>
      <c r="B28">
        <v>0.30132536123567516</v>
      </c>
      <c r="C28" t="s">
        <v>53</v>
      </c>
      <c r="D28">
        <v>18.607298231699254</v>
      </c>
      <c r="E28">
        <f t="shared" si="0"/>
        <v>-18.305972870463577</v>
      </c>
    </row>
    <row r="29" spans="1:5" x14ac:dyDescent="0.25">
      <c r="A29" t="s">
        <v>140</v>
      </c>
      <c r="B29">
        <v>0.30132536123567516</v>
      </c>
      <c r="C29" t="s">
        <v>53</v>
      </c>
      <c r="D29">
        <v>18.607298231699254</v>
      </c>
      <c r="E29">
        <f t="shared" si="0"/>
        <v>-18.305972870463577</v>
      </c>
    </row>
    <row r="30" spans="1:5" x14ac:dyDescent="0.25">
      <c r="A30" t="s">
        <v>93</v>
      </c>
      <c r="B30">
        <v>0.30132536123567516</v>
      </c>
      <c r="C30" t="s">
        <v>53</v>
      </c>
      <c r="D30">
        <v>18.607298231699254</v>
      </c>
      <c r="E30">
        <f t="shared" si="0"/>
        <v>-18.305972870463577</v>
      </c>
    </row>
    <row r="31" spans="1:5" x14ac:dyDescent="0.25">
      <c r="A31" t="s">
        <v>115</v>
      </c>
      <c r="B31">
        <v>0.30132536123567516</v>
      </c>
      <c r="C31" t="s">
        <v>53</v>
      </c>
      <c r="D31">
        <v>18.607298231699254</v>
      </c>
      <c r="E31">
        <f t="shared" si="0"/>
        <v>-18.305972870463577</v>
      </c>
    </row>
    <row r="32" spans="1:5" x14ac:dyDescent="0.25">
      <c r="A32" t="s">
        <v>98</v>
      </c>
      <c r="B32">
        <v>0.60265072247135032</v>
      </c>
      <c r="C32" t="s">
        <v>53</v>
      </c>
      <c r="D32">
        <v>18.607298231699254</v>
      </c>
      <c r="E32">
        <f t="shared" si="0"/>
        <v>-18.004647509227905</v>
      </c>
    </row>
    <row r="33" spans="1:5" x14ac:dyDescent="0.25">
      <c r="A33" t="s">
        <v>89</v>
      </c>
      <c r="B33">
        <v>0.60265072247135032</v>
      </c>
      <c r="C33" t="s">
        <v>53</v>
      </c>
      <c r="D33">
        <v>18.607298231699254</v>
      </c>
      <c r="E33">
        <f t="shared" si="0"/>
        <v>-18.004647509227905</v>
      </c>
    </row>
    <row r="34" spans="1:5" x14ac:dyDescent="0.25">
      <c r="A34" t="s">
        <v>120</v>
      </c>
      <c r="B34">
        <v>0.62210264075734933</v>
      </c>
      <c r="C34" t="s">
        <v>53</v>
      </c>
      <c r="D34">
        <v>18.607298231699254</v>
      </c>
      <c r="E34">
        <f t="shared" ref="E34:E65" si="1">B34-D34</f>
        <v>-17.985195590941906</v>
      </c>
    </row>
    <row r="35" spans="1:5" x14ac:dyDescent="0.25">
      <c r="A35" t="s">
        <v>87</v>
      </c>
      <c r="B35">
        <v>0.90542102640757349</v>
      </c>
      <c r="C35" t="s">
        <v>53</v>
      </c>
      <c r="D35">
        <v>18.607298231699254</v>
      </c>
      <c r="E35">
        <f t="shared" si="1"/>
        <v>-17.70187720529168</v>
      </c>
    </row>
    <row r="36" spans="1:5" x14ac:dyDescent="0.25">
      <c r="A36" t="s">
        <v>150</v>
      </c>
      <c r="B36">
        <v>1.3559541604384653</v>
      </c>
      <c r="C36" t="s">
        <v>53</v>
      </c>
      <c r="D36">
        <v>18.607298231699254</v>
      </c>
      <c r="E36">
        <f t="shared" si="1"/>
        <v>-17.251344071260789</v>
      </c>
    </row>
    <row r="37" spans="1:5" x14ac:dyDescent="0.25">
      <c r="A37" t="s">
        <v>73</v>
      </c>
      <c r="B37">
        <v>1.5066268061783759</v>
      </c>
      <c r="C37" t="s">
        <v>53</v>
      </c>
      <c r="D37">
        <v>18.607298231699254</v>
      </c>
      <c r="E37">
        <f t="shared" si="1"/>
        <v>-17.100671425520879</v>
      </c>
    </row>
    <row r="38" spans="1:5" x14ac:dyDescent="0.25">
      <c r="A38" t="s">
        <v>139</v>
      </c>
      <c r="B38">
        <v>1.5066268061783759</v>
      </c>
      <c r="C38" t="s">
        <v>53</v>
      </c>
      <c r="D38">
        <v>18.607298231699254</v>
      </c>
      <c r="E38">
        <f t="shared" si="1"/>
        <v>-17.100671425520879</v>
      </c>
    </row>
    <row r="39" spans="1:5" x14ac:dyDescent="0.25">
      <c r="A39" t="s">
        <v>145</v>
      </c>
      <c r="B39">
        <v>1.7937219730941707</v>
      </c>
      <c r="C39" t="s">
        <v>53</v>
      </c>
      <c r="D39">
        <v>18.607298231699254</v>
      </c>
      <c r="E39">
        <f t="shared" si="1"/>
        <v>-16.813576258605082</v>
      </c>
    </row>
    <row r="40" spans="1:5" x14ac:dyDescent="0.25">
      <c r="A40" t="s">
        <v>64</v>
      </c>
      <c r="B40">
        <v>3.0132536123567517</v>
      </c>
      <c r="C40" t="s">
        <v>53</v>
      </c>
      <c r="D40">
        <v>18.607298231699254</v>
      </c>
      <c r="E40">
        <f t="shared" si="1"/>
        <v>-15.594044619342501</v>
      </c>
    </row>
    <row r="41" spans="1:5" x14ac:dyDescent="0.25">
      <c r="A41" t="s">
        <v>65</v>
      </c>
      <c r="B41">
        <v>3.0132536123567517</v>
      </c>
      <c r="C41" t="s">
        <v>53</v>
      </c>
      <c r="D41">
        <v>18.607298231699254</v>
      </c>
      <c r="E41">
        <f t="shared" si="1"/>
        <v>-15.594044619342501</v>
      </c>
    </row>
    <row r="42" spans="1:5" x14ac:dyDescent="0.25">
      <c r="A42" t="s">
        <v>101</v>
      </c>
      <c r="B42">
        <v>3.1105132037867467</v>
      </c>
      <c r="C42" t="s">
        <v>53</v>
      </c>
      <c r="D42">
        <v>18.607298231699254</v>
      </c>
      <c r="E42">
        <f t="shared" si="1"/>
        <v>-15.496785027912507</v>
      </c>
    </row>
    <row r="43" spans="1:5" x14ac:dyDescent="0.25">
      <c r="A43" t="s">
        <v>143</v>
      </c>
      <c r="B43">
        <v>4</v>
      </c>
      <c r="C43" t="s">
        <v>53</v>
      </c>
      <c r="D43">
        <v>18.607298231699254</v>
      </c>
      <c r="E43">
        <f t="shared" si="1"/>
        <v>-14.607298231699254</v>
      </c>
    </row>
    <row r="44" spans="1:5" x14ac:dyDescent="0.25">
      <c r="A44" t="s">
        <v>83</v>
      </c>
      <c r="B44">
        <v>4</v>
      </c>
      <c r="C44" t="s">
        <v>53</v>
      </c>
      <c r="D44">
        <v>18.607298231699254</v>
      </c>
      <c r="E44">
        <f t="shared" si="1"/>
        <v>-14.607298231699254</v>
      </c>
    </row>
    <row r="45" spans="1:5" x14ac:dyDescent="0.25">
      <c r="A45" t="s">
        <v>118</v>
      </c>
      <c r="B45">
        <v>4</v>
      </c>
      <c r="C45" t="s">
        <v>53</v>
      </c>
      <c r="D45">
        <v>18.607298231699254</v>
      </c>
      <c r="E45">
        <f t="shared" si="1"/>
        <v>-14.607298231699254</v>
      </c>
    </row>
    <row r="46" spans="1:5" x14ac:dyDescent="0.25">
      <c r="A46" t="s">
        <v>136</v>
      </c>
      <c r="B46">
        <v>4</v>
      </c>
      <c r="C46" t="s">
        <v>53</v>
      </c>
      <c r="D46">
        <v>18.607298231699254</v>
      </c>
      <c r="E46">
        <f t="shared" si="1"/>
        <v>-14.607298231699254</v>
      </c>
    </row>
    <row r="47" spans="1:5" x14ac:dyDescent="0.25">
      <c r="A47" t="s">
        <v>128</v>
      </c>
      <c r="B47">
        <v>4.0678624813153963</v>
      </c>
      <c r="C47" t="s">
        <v>53</v>
      </c>
      <c r="D47">
        <v>18.607298231699254</v>
      </c>
      <c r="E47">
        <f t="shared" si="1"/>
        <v>-14.539435750383857</v>
      </c>
    </row>
    <row r="48" spans="1:5" x14ac:dyDescent="0.25">
      <c r="A48" t="s">
        <v>99</v>
      </c>
      <c r="B48">
        <v>4.5198804185351271</v>
      </c>
      <c r="C48" t="s">
        <v>53</v>
      </c>
      <c r="D48">
        <v>18.607298231699254</v>
      </c>
      <c r="E48">
        <f t="shared" si="1"/>
        <v>-14.087417813164127</v>
      </c>
    </row>
    <row r="49" spans="1:5" x14ac:dyDescent="0.25">
      <c r="A49" t="s">
        <v>67</v>
      </c>
      <c r="B49">
        <v>4.5271051320378675</v>
      </c>
      <c r="C49" t="s">
        <v>53</v>
      </c>
      <c r="D49">
        <v>18.607298231699254</v>
      </c>
      <c r="E49">
        <f t="shared" si="1"/>
        <v>-14.080193099661386</v>
      </c>
    </row>
    <row r="50" spans="1:5" x14ac:dyDescent="0.25">
      <c r="A50" t="s">
        <v>142</v>
      </c>
      <c r="B50">
        <v>5.4238166417538611</v>
      </c>
      <c r="C50" t="s">
        <v>53</v>
      </c>
      <c r="D50">
        <v>18.607298231699254</v>
      </c>
      <c r="E50">
        <f t="shared" si="1"/>
        <v>-13.183481589945393</v>
      </c>
    </row>
    <row r="51" spans="1:5" x14ac:dyDescent="0.25">
      <c r="A51" t="s">
        <v>147</v>
      </c>
      <c r="B51">
        <v>5.4238166417538611</v>
      </c>
      <c r="C51" t="s">
        <v>53</v>
      </c>
      <c r="D51">
        <v>18.607298231699254</v>
      </c>
      <c r="E51">
        <f t="shared" si="1"/>
        <v>-13.183481589945393</v>
      </c>
    </row>
    <row r="52" spans="1:5" x14ac:dyDescent="0.25">
      <c r="A52" t="s">
        <v>138</v>
      </c>
      <c r="B52">
        <v>5.4238166417538611</v>
      </c>
      <c r="C52" t="s">
        <v>53</v>
      </c>
      <c r="D52">
        <v>18.607298231699254</v>
      </c>
      <c r="E52">
        <f t="shared" si="1"/>
        <v>-13.183481589945393</v>
      </c>
    </row>
    <row r="53" spans="1:5" x14ac:dyDescent="0.25">
      <c r="A53" t="s">
        <v>125</v>
      </c>
      <c r="B53">
        <v>5.4238166417538611</v>
      </c>
      <c r="C53" t="s">
        <v>53</v>
      </c>
      <c r="D53">
        <v>18.607298231699254</v>
      </c>
      <c r="E53">
        <f t="shared" si="1"/>
        <v>-13.183481589945393</v>
      </c>
    </row>
    <row r="54" spans="1:5" x14ac:dyDescent="0.25">
      <c r="A54" t="s">
        <v>106</v>
      </c>
      <c r="B54">
        <v>5.4238166417538611</v>
      </c>
      <c r="C54" t="s">
        <v>53</v>
      </c>
      <c r="D54">
        <v>18.607298231699254</v>
      </c>
      <c r="E54">
        <f t="shared" si="1"/>
        <v>-13.183481589945393</v>
      </c>
    </row>
    <row r="55" spans="1:5" x14ac:dyDescent="0.25">
      <c r="A55" t="s">
        <v>91</v>
      </c>
      <c r="B55">
        <v>5.4238166417538611</v>
      </c>
      <c r="C55" t="s">
        <v>53</v>
      </c>
      <c r="D55">
        <v>18.607298231699254</v>
      </c>
      <c r="E55">
        <f t="shared" si="1"/>
        <v>-13.183481589945393</v>
      </c>
    </row>
    <row r="56" spans="1:5" x14ac:dyDescent="0.25">
      <c r="A56" t="s">
        <v>96</v>
      </c>
      <c r="B56">
        <v>6.2210264075734933</v>
      </c>
      <c r="C56" t="s">
        <v>53</v>
      </c>
      <c r="D56">
        <v>18.607298231699254</v>
      </c>
      <c r="E56">
        <f t="shared" si="1"/>
        <v>-12.38627182412576</v>
      </c>
    </row>
    <row r="57" spans="1:5" x14ac:dyDescent="0.25">
      <c r="A57" t="s">
        <v>129</v>
      </c>
      <c r="B57">
        <v>6.5</v>
      </c>
      <c r="C57" t="s">
        <v>53</v>
      </c>
      <c r="D57">
        <v>18.607298231699254</v>
      </c>
      <c r="E57">
        <f t="shared" si="1"/>
        <v>-12.107298231699254</v>
      </c>
    </row>
    <row r="58" spans="1:5" x14ac:dyDescent="0.25">
      <c r="A58" t="s">
        <v>114</v>
      </c>
      <c r="B58">
        <v>7.333333333333333</v>
      </c>
      <c r="C58" t="s">
        <v>53</v>
      </c>
      <c r="D58">
        <v>18.607298231699254</v>
      </c>
      <c r="E58">
        <f t="shared" si="1"/>
        <v>-11.273964898365922</v>
      </c>
    </row>
    <row r="59" spans="1:5" x14ac:dyDescent="0.25">
      <c r="A59" t="s">
        <v>97</v>
      </c>
      <c r="B59">
        <v>9.33153961136024</v>
      </c>
      <c r="C59" t="s">
        <v>53</v>
      </c>
      <c r="D59">
        <v>18.607298231699254</v>
      </c>
      <c r="E59">
        <f t="shared" si="1"/>
        <v>-9.2757586203390137</v>
      </c>
    </row>
    <row r="60" spans="1:5" x14ac:dyDescent="0.25">
      <c r="A60" t="s">
        <v>102</v>
      </c>
      <c r="B60">
        <v>9.33153961136024</v>
      </c>
      <c r="C60" t="s">
        <v>53</v>
      </c>
      <c r="D60">
        <v>18.607298231699254</v>
      </c>
      <c r="E60">
        <f t="shared" si="1"/>
        <v>-9.2757586203390137</v>
      </c>
    </row>
    <row r="61" spans="1:5" x14ac:dyDescent="0.25">
      <c r="A61" t="s">
        <v>74</v>
      </c>
      <c r="B61">
        <v>9.75</v>
      </c>
      <c r="C61" t="s">
        <v>53</v>
      </c>
      <c r="D61">
        <v>18.607298231699254</v>
      </c>
      <c r="E61">
        <f t="shared" si="1"/>
        <v>-8.8572982316992537</v>
      </c>
    </row>
    <row r="62" spans="1:5" x14ac:dyDescent="0.25">
      <c r="A62" t="s">
        <v>127</v>
      </c>
      <c r="B62">
        <v>11.5</v>
      </c>
      <c r="C62" t="s">
        <v>53</v>
      </c>
      <c r="D62">
        <v>18.607298231699254</v>
      </c>
      <c r="E62">
        <f t="shared" si="1"/>
        <v>-7.1072982316992537</v>
      </c>
    </row>
    <row r="63" spans="1:5" x14ac:dyDescent="0.25">
      <c r="A63" t="s">
        <v>104</v>
      </c>
      <c r="B63">
        <v>12.442052815146987</v>
      </c>
      <c r="C63" t="s">
        <v>53</v>
      </c>
      <c r="D63">
        <v>18.607298231699254</v>
      </c>
      <c r="E63">
        <f t="shared" si="1"/>
        <v>-6.165245416552267</v>
      </c>
    </row>
    <row r="64" spans="1:5" x14ac:dyDescent="0.25">
      <c r="A64" t="s">
        <v>69</v>
      </c>
      <c r="B64">
        <v>13</v>
      </c>
      <c r="C64" t="s">
        <v>53</v>
      </c>
      <c r="D64">
        <v>18.607298231699254</v>
      </c>
      <c r="E64">
        <f t="shared" si="1"/>
        <v>-5.6072982316992537</v>
      </c>
    </row>
    <row r="65" spans="1:5" x14ac:dyDescent="0.25">
      <c r="A65" t="s">
        <v>57</v>
      </c>
      <c r="B65">
        <v>13</v>
      </c>
      <c r="C65" t="s">
        <v>53</v>
      </c>
      <c r="D65">
        <v>18.607298231699254</v>
      </c>
      <c r="E65">
        <f t="shared" si="1"/>
        <v>-5.6072982316992537</v>
      </c>
    </row>
    <row r="66" spans="1:5" x14ac:dyDescent="0.25">
      <c r="A66" t="s">
        <v>84</v>
      </c>
      <c r="B66">
        <v>13</v>
      </c>
      <c r="C66" t="s">
        <v>53</v>
      </c>
      <c r="D66">
        <v>18.607298231699254</v>
      </c>
      <c r="E66">
        <f t="shared" ref="E66:E97" si="2">B66-D66</f>
        <v>-5.6072982316992537</v>
      </c>
    </row>
    <row r="67" spans="1:5" x14ac:dyDescent="0.25">
      <c r="A67" t="s">
        <v>119</v>
      </c>
      <c r="B67">
        <v>13.581315396113602</v>
      </c>
      <c r="C67" t="s">
        <v>53</v>
      </c>
      <c r="D67">
        <v>18.607298231699254</v>
      </c>
      <c r="E67">
        <f t="shared" si="2"/>
        <v>-5.0259828355856513</v>
      </c>
    </row>
    <row r="68" spans="1:5" x14ac:dyDescent="0.25">
      <c r="A68" t="s">
        <v>112</v>
      </c>
      <c r="B68">
        <v>14.25</v>
      </c>
      <c r="C68" t="s">
        <v>53</v>
      </c>
      <c r="D68">
        <v>18.607298231699254</v>
      </c>
      <c r="E68">
        <f t="shared" si="2"/>
        <v>-4.3572982316992537</v>
      </c>
    </row>
    <row r="69" spans="1:5" x14ac:dyDescent="0.25">
      <c r="A69" t="s">
        <v>131</v>
      </c>
      <c r="B69">
        <v>14.25</v>
      </c>
      <c r="C69" t="s">
        <v>53</v>
      </c>
      <c r="D69">
        <v>18.607298231699254</v>
      </c>
      <c r="E69">
        <f t="shared" si="2"/>
        <v>-4.3572982316992537</v>
      </c>
    </row>
    <row r="70" spans="1:5" x14ac:dyDescent="0.25">
      <c r="A70" t="s">
        <v>124</v>
      </c>
      <c r="B70">
        <v>14.25</v>
      </c>
      <c r="C70" t="s">
        <v>53</v>
      </c>
      <c r="D70">
        <v>18.607298231699254</v>
      </c>
      <c r="E70">
        <f t="shared" si="2"/>
        <v>-4.3572982316992537</v>
      </c>
    </row>
    <row r="71" spans="1:5" x14ac:dyDescent="0.25">
      <c r="A71" t="s">
        <v>90</v>
      </c>
      <c r="B71">
        <v>14.666666666666666</v>
      </c>
      <c r="C71" t="s">
        <v>53</v>
      </c>
      <c r="D71">
        <v>18.607298231699254</v>
      </c>
      <c r="E71">
        <f t="shared" si="2"/>
        <v>-3.9406315650325876</v>
      </c>
    </row>
    <row r="72" spans="1:5" x14ac:dyDescent="0.25">
      <c r="A72" t="s">
        <v>117</v>
      </c>
      <c r="B72">
        <v>14.666666666666666</v>
      </c>
      <c r="C72" t="s">
        <v>53</v>
      </c>
      <c r="D72">
        <v>18.607298231699254</v>
      </c>
      <c r="E72">
        <f t="shared" si="2"/>
        <v>-3.9406315650325876</v>
      </c>
    </row>
    <row r="73" spans="1:5" x14ac:dyDescent="0.25">
      <c r="A73" t="s">
        <v>137</v>
      </c>
      <c r="B73">
        <v>14.666666666666666</v>
      </c>
      <c r="C73" t="s">
        <v>53</v>
      </c>
      <c r="D73">
        <v>18.607298231699254</v>
      </c>
      <c r="E73">
        <f t="shared" si="2"/>
        <v>-3.9406315650325876</v>
      </c>
    </row>
    <row r="74" spans="1:5" x14ac:dyDescent="0.25">
      <c r="A74" t="s">
        <v>113</v>
      </c>
      <c r="B74">
        <v>14.666666666666666</v>
      </c>
      <c r="C74" t="s">
        <v>53</v>
      </c>
      <c r="D74">
        <v>18.607298231699254</v>
      </c>
      <c r="E74">
        <f t="shared" si="2"/>
        <v>-3.9406315650325876</v>
      </c>
    </row>
    <row r="75" spans="1:5" x14ac:dyDescent="0.25">
      <c r="A75" t="s">
        <v>79</v>
      </c>
      <c r="B75">
        <v>14.666666666666666</v>
      </c>
      <c r="C75" t="s">
        <v>53</v>
      </c>
      <c r="D75">
        <v>18.607298231699254</v>
      </c>
      <c r="E75">
        <f t="shared" si="2"/>
        <v>-3.9406315650325876</v>
      </c>
    </row>
    <row r="76" spans="1:5" x14ac:dyDescent="0.25">
      <c r="A76" t="s">
        <v>135</v>
      </c>
      <c r="B76">
        <v>14.666666666666666</v>
      </c>
      <c r="C76" t="s">
        <v>53</v>
      </c>
      <c r="D76">
        <v>18.607298231699254</v>
      </c>
      <c r="E76">
        <f t="shared" si="2"/>
        <v>-3.9406315650325876</v>
      </c>
    </row>
    <row r="77" spans="1:5" x14ac:dyDescent="0.25">
      <c r="A77" t="s">
        <v>100</v>
      </c>
      <c r="B77">
        <v>14.666666666666666</v>
      </c>
      <c r="C77" t="s">
        <v>53</v>
      </c>
      <c r="D77">
        <v>18.607298231699254</v>
      </c>
      <c r="E77">
        <f t="shared" si="2"/>
        <v>-3.9406315650325876</v>
      </c>
    </row>
    <row r="78" spans="1:5" x14ac:dyDescent="0.25">
      <c r="A78" t="s">
        <v>88</v>
      </c>
      <c r="B78">
        <v>17</v>
      </c>
      <c r="C78" t="s">
        <v>53</v>
      </c>
      <c r="D78">
        <v>18.607298231699254</v>
      </c>
      <c r="E78">
        <f t="shared" si="2"/>
        <v>-1.6072982316992537</v>
      </c>
    </row>
    <row r="79" spans="1:5" x14ac:dyDescent="0.25">
      <c r="A79" t="s">
        <v>132</v>
      </c>
      <c r="B79">
        <v>17</v>
      </c>
      <c r="C79" t="s">
        <v>53</v>
      </c>
      <c r="D79">
        <v>18.607298231699254</v>
      </c>
      <c r="E79">
        <f t="shared" si="2"/>
        <v>-1.6072982316992537</v>
      </c>
    </row>
    <row r="80" spans="1:5" x14ac:dyDescent="0.25">
      <c r="A80" t="s">
        <v>94</v>
      </c>
      <c r="B80">
        <v>17</v>
      </c>
      <c r="C80" t="s">
        <v>53</v>
      </c>
      <c r="D80">
        <v>18.607298231699254</v>
      </c>
      <c r="E80">
        <f t="shared" si="2"/>
        <v>-1.6072982316992537</v>
      </c>
    </row>
    <row r="81" spans="1:5" x14ac:dyDescent="0.25">
      <c r="A81" t="s">
        <v>121</v>
      </c>
      <c r="B81">
        <v>17</v>
      </c>
      <c r="C81" t="s">
        <v>53</v>
      </c>
      <c r="D81">
        <v>18.607298231699254</v>
      </c>
      <c r="E81">
        <f t="shared" si="2"/>
        <v>-1.6072982316992537</v>
      </c>
    </row>
    <row r="82" spans="1:5" x14ac:dyDescent="0.25">
      <c r="A82" t="s">
        <v>116</v>
      </c>
      <c r="B82">
        <v>19</v>
      </c>
      <c r="C82" t="s">
        <v>53</v>
      </c>
      <c r="D82">
        <v>18.607298231699254</v>
      </c>
      <c r="E82">
        <f t="shared" si="2"/>
        <v>0.39270176830074632</v>
      </c>
    </row>
    <row r="83" spans="1:5" x14ac:dyDescent="0.25">
      <c r="A83" t="s">
        <v>95</v>
      </c>
      <c r="B83">
        <v>19.25</v>
      </c>
      <c r="C83" t="s">
        <v>53</v>
      </c>
      <c r="D83">
        <v>18.607298231699254</v>
      </c>
      <c r="E83">
        <f t="shared" si="2"/>
        <v>0.64270176830074632</v>
      </c>
    </row>
    <row r="84" spans="1:5" x14ac:dyDescent="0.25">
      <c r="A84" t="s">
        <v>134</v>
      </c>
      <c r="B84">
        <v>19.25</v>
      </c>
      <c r="C84" t="s">
        <v>53</v>
      </c>
      <c r="D84">
        <v>18.607298231699254</v>
      </c>
      <c r="E84">
        <f t="shared" si="2"/>
        <v>0.64270176830074632</v>
      </c>
    </row>
    <row r="85" spans="1:5" x14ac:dyDescent="0.25">
      <c r="A85" t="s">
        <v>144</v>
      </c>
      <c r="B85">
        <v>19.25</v>
      </c>
      <c r="C85" t="s">
        <v>53</v>
      </c>
      <c r="D85">
        <v>18.607298231699254</v>
      </c>
      <c r="E85">
        <f t="shared" si="2"/>
        <v>0.64270176830074632</v>
      </c>
    </row>
    <row r="86" spans="1:5" x14ac:dyDescent="0.25">
      <c r="A86" t="s">
        <v>149</v>
      </c>
      <c r="B86">
        <v>19.25</v>
      </c>
      <c r="C86" t="s">
        <v>53</v>
      </c>
      <c r="D86">
        <v>18.607298231699254</v>
      </c>
      <c r="E86">
        <f t="shared" si="2"/>
        <v>0.64270176830074632</v>
      </c>
    </row>
    <row r="87" spans="1:5" x14ac:dyDescent="0.25">
      <c r="A87" t="s">
        <v>133</v>
      </c>
      <c r="B87">
        <v>19.25</v>
      </c>
      <c r="C87" t="s">
        <v>53</v>
      </c>
      <c r="D87">
        <v>18.607298231699254</v>
      </c>
      <c r="E87">
        <f t="shared" si="2"/>
        <v>0.64270176830074632</v>
      </c>
    </row>
    <row r="88" spans="1:5" x14ac:dyDescent="0.25">
      <c r="A88" t="s">
        <v>110</v>
      </c>
      <c r="B88">
        <v>19.25</v>
      </c>
      <c r="C88" t="s">
        <v>53</v>
      </c>
      <c r="D88">
        <v>18.607298231699254</v>
      </c>
      <c r="E88">
        <f t="shared" si="2"/>
        <v>0.64270176830074632</v>
      </c>
    </row>
    <row r="89" spans="1:5" x14ac:dyDescent="0.25">
      <c r="A89" t="s">
        <v>105</v>
      </c>
      <c r="B89">
        <v>19.25</v>
      </c>
      <c r="C89" t="s">
        <v>53</v>
      </c>
      <c r="D89">
        <v>18.607298231699254</v>
      </c>
      <c r="E89">
        <f t="shared" si="2"/>
        <v>0.64270176830074632</v>
      </c>
    </row>
    <row r="90" spans="1:5" x14ac:dyDescent="0.25">
      <c r="A90" t="s">
        <v>107</v>
      </c>
      <c r="B90">
        <v>19.25</v>
      </c>
      <c r="C90" t="s">
        <v>53</v>
      </c>
      <c r="D90">
        <v>18.607298231699254</v>
      </c>
      <c r="E90">
        <f t="shared" si="2"/>
        <v>0.64270176830074632</v>
      </c>
    </row>
    <row r="91" spans="1:5" x14ac:dyDescent="0.25">
      <c r="A91" t="s">
        <v>146</v>
      </c>
      <c r="B91">
        <v>19.333333333333332</v>
      </c>
      <c r="C91" t="s">
        <v>53</v>
      </c>
      <c r="D91">
        <v>18.607298231699254</v>
      </c>
      <c r="E91">
        <f t="shared" si="2"/>
        <v>0.72603510163407847</v>
      </c>
    </row>
    <row r="92" spans="1:5" x14ac:dyDescent="0.25">
      <c r="A92" t="s">
        <v>78</v>
      </c>
      <c r="B92">
        <v>22.666666666666664</v>
      </c>
      <c r="C92" t="s">
        <v>53</v>
      </c>
      <c r="D92">
        <v>18.607298231699254</v>
      </c>
      <c r="E92">
        <f t="shared" si="2"/>
        <v>4.0593684349674106</v>
      </c>
    </row>
    <row r="93" spans="1:5" x14ac:dyDescent="0.25">
      <c r="A93" t="s">
        <v>122</v>
      </c>
      <c r="B93">
        <v>22.666666666666664</v>
      </c>
      <c r="C93" t="s">
        <v>53</v>
      </c>
      <c r="D93">
        <v>18.607298231699254</v>
      </c>
      <c r="E93">
        <f t="shared" si="2"/>
        <v>4.0593684349674106</v>
      </c>
    </row>
    <row r="94" spans="1:5" x14ac:dyDescent="0.25">
      <c r="A94" t="s">
        <v>103</v>
      </c>
      <c r="B94">
        <v>22.666666666666664</v>
      </c>
      <c r="C94" t="s">
        <v>53</v>
      </c>
      <c r="D94">
        <v>18.607298231699254</v>
      </c>
      <c r="E94">
        <f t="shared" si="2"/>
        <v>4.0593684349674106</v>
      </c>
    </row>
    <row r="95" spans="1:5" x14ac:dyDescent="0.25">
      <c r="A95" t="s">
        <v>111</v>
      </c>
      <c r="B95">
        <v>26.5</v>
      </c>
      <c r="C95" t="s">
        <v>53</v>
      </c>
      <c r="D95">
        <v>18.607298231699254</v>
      </c>
      <c r="E95">
        <f t="shared" si="2"/>
        <v>7.8927017683007463</v>
      </c>
    </row>
    <row r="96" spans="1:5" x14ac:dyDescent="0.25">
      <c r="A96" t="s">
        <v>126</v>
      </c>
      <c r="B96">
        <v>26.5</v>
      </c>
      <c r="C96" t="s">
        <v>53</v>
      </c>
      <c r="D96">
        <v>18.607298231699254</v>
      </c>
      <c r="E96">
        <f t="shared" si="2"/>
        <v>7.8927017683007463</v>
      </c>
    </row>
    <row r="97" spans="1:5" x14ac:dyDescent="0.25">
      <c r="A97" t="s">
        <v>81</v>
      </c>
      <c r="B97">
        <v>35.333333333333329</v>
      </c>
      <c r="C97" t="s">
        <v>53</v>
      </c>
      <c r="D97">
        <v>18.607298231699254</v>
      </c>
      <c r="E97">
        <f t="shared" si="2"/>
        <v>16.726035101634075</v>
      </c>
    </row>
    <row r="98" spans="1:5" x14ac:dyDescent="0.25">
      <c r="A98" t="s">
        <v>76</v>
      </c>
      <c r="B98">
        <v>35.333333333333329</v>
      </c>
      <c r="C98" t="s">
        <v>53</v>
      </c>
      <c r="D98">
        <v>18.607298231699254</v>
      </c>
      <c r="E98">
        <f t="shared" ref="E98:E129" si="3">B98-D98</f>
        <v>16.726035101634075</v>
      </c>
    </row>
    <row r="99" spans="1:5" x14ac:dyDescent="0.25">
      <c r="A99" t="s">
        <v>141</v>
      </c>
      <c r="B99">
        <v>55.5</v>
      </c>
      <c r="C99" t="s">
        <v>53</v>
      </c>
      <c r="D99">
        <v>18.607298231699254</v>
      </c>
      <c r="E99">
        <f t="shared" si="3"/>
        <v>36.892701768300746</v>
      </c>
    </row>
    <row r="100" spans="1:5" x14ac:dyDescent="0.25">
      <c r="A100" t="s">
        <v>77</v>
      </c>
      <c r="B100">
        <v>55.5</v>
      </c>
      <c r="C100" t="s">
        <v>53</v>
      </c>
      <c r="D100">
        <v>18.607298231699254</v>
      </c>
      <c r="E100">
        <f t="shared" si="3"/>
        <v>36.892701768300746</v>
      </c>
    </row>
    <row r="101" spans="1:5" x14ac:dyDescent="0.25">
      <c r="A101" t="s">
        <v>86</v>
      </c>
      <c r="B101">
        <v>55.5</v>
      </c>
      <c r="C101" t="s">
        <v>53</v>
      </c>
      <c r="D101">
        <v>18.607298231699254</v>
      </c>
      <c r="E101">
        <f t="shared" si="3"/>
        <v>36.892701768300746</v>
      </c>
    </row>
    <row r="102" spans="1:5" x14ac:dyDescent="0.25">
      <c r="A102" t="s">
        <v>75</v>
      </c>
      <c r="B102">
        <v>55.5</v>
      </c>
      <c r="C102" t="s">
        <v>53</v>
      </c>
      <c r="D102">
        <v>18.607298231699254</v>
      </c>
      <c r="E102">
        <f t="shared" si="3"/>
        <v>36.892701768300746</v>
      </c>
    </row>
    <row r="103" spans="1:5" x14ac:dyDescent="0.25">
      <c r="A103" t="s">
        <v>109</v>
      </c>
      <c r="B103">
        <v>55.5</v>
      </c>
      <c r="C103" t="s">
        <v>53</v>
      </c>
      <c r="D103">
        <v>18.607298231699254</v>
      </c>
      <c r="E103">
        <f t="shared" si="3"/>
        <v>36.892701768300746</v>
      </c>
    </row>
    <row r="104" spans="1:5" x14ac:dyDescent="0.25">
      <c r="A104" t="s">
        <v>63</v>
      </c>
      <c r="B104">
        <v>55.5</v>
      </c>
      <c r="C104" t="s">
        <v>53</v>
      </c>
      <c r="D104">
        <v>18.607298231699254</v>
      </c>
      <c r="E104">
        <f t="shared" si="3"/>
        <v>36.892701768300746</v>
      </c>
    </row>
    <row r="105" spans="1:5" x14ac:dyDescent="0.25">
      <c r="A105" t="s">
        <v>92</v>
      </c>
      <c r="B105">
        <v>55.5</v>
      </c>
      <c r="C105" t="s">
        <v>53</v>
      </c>
      <c r="D105">
        <v>18.607298231699254</v>
      </c>
      <c r="E105">
        <f t="shared" si="3"/>
        <v>36.892701768300746</v>
      </c>
    </row>
    <row r="106" spans="1:5" x14ac:dyDescent="0.25">
      <c r="A106" t="s">
        <v>108</v>
      </c>
      <c r="B106">
        <v>55.5</v>
      </c>
      <c r="C106" t="s">
        <v>53</v>
      </c>
      <c r="D106">
        <v>18.607298231699254</v>
      </c>
      <c r="E106">
        <f t="shared" si="3"/>
        <v>36.892701768300746</v>
      </c>
    </row>
    <row r="107" spans="1:5" x14ac:dyDescent="0.25">
      <c r="A107" t="s">
        <v>71</v>
      </c>
      <c r="B107">
        <v>55.5</v>
      </c>
      <c r="C107" t="s">
        <v>53</v>
      </c>
      <c r="D107">
        <v>18.607298231699254</v>
      </c>
      <c r="E107">
        <f t="shared" si="3"/>
        <v>36.892701768300746</v>
      </c>
    </row>
    <row r="108" spans="1:5" x14ac:dyDescent="0.25">
      <c r="A108" t="s">
        <v>123</v>
      </c>
      <c r="B108">
        <v>55.5</v>
      </c>
      <c r="C108" t="s">
        <v>53</v>
      </c>
      <c r="D108">
        <v>18.607298231699254</v>
      </c>
      <c r="E108">
        <f t="shared" si="3"/>
        <v>36.892701768300746</v>
      </c>
    </row>
    <row r="109" spans="1:5" x14ac:dyDescent="0.25">
      <c r="A109" t="s">
        <v>56</v>
      </c>
      <c r="B109">
        <v>55.5</v>
      </c>
      <c r="C109" t="s">
        <v>53</v>
      </c>
      <c r="D109">
        <v>18.607298231699254</v>
      </c>
      <c r="E109">
        <f t="shared" si="3"/>
        <v>36.892701768300746</v>
      </c>
    </row>
    <row r="110" spans="1:5" x14ac:dyDescent="0.25">
      <c r="A110" t="s">
        <v>54</v>
      </c>
      <c r="B110">
        <v>55.5</v>
      </c>
      <c r="C110" t="s">
        <v>53</v>
      </c>
      <c r="D110">
        <v>18.607298231699254</v>
      </c>
      <c r="E110">
        <f t="shared" si="3"/>
        <v>36.892701768300746</v>
      </c>
    </row>
    <row r="111" spans="1:5" x14ac:dyDescent="0.25">
      <c r="A111" t="s">
        <v>55</v>
      </c>
      <c r="B111">
        <v>55.5</v>
      </c>
      <c r="C111" t="s">
        <v>53</v>
      </c>
      <c r="D111">
        <v>18.607298231699254</v>
      </c>
      <c r="E111">
        <f t="shared" si="3"/>
        <v>36.892701768300746</v>
      </c>
    </row>
    <row r="112" spans="1:5" x14ac:dyDescent="0.25">
      <c r="A112" t="s">
        <v>52</v>
      </c>
      <c r="B112">
        <v>55.5</v>
      </c>
      <c r="C112" t="s">
        <v>53</v>
      </c>
      <c r="D112">
        <v>18.607298231699254</v>
      </c>
      <c r="E112">
        <f t="shared" si="3"/>
        <v>36.892701768300746</v>
      </c>
    </row>
    <row r="113" spans="1:5" x14ac:dyDescent="0.25">
      <c r="A113" t="s">
        <v>80</v>
      </c>
      <c r="B113">
        <v>55.5</v>
      </c>
      <c r="C113" t="s">
        <v>53</v>
      </c>
      <c r="D113">
        <v>18.607298231699254</v>
      </c>
      <c r="E113">
        <f t="shared" si="3"/>
        <v>36.892701768300746</v>
      </c>
    </row>
    <row r="114" spans="1:5" x14ac:dyDescent="0.25">
      <c r="A114" t="s">
        <v>130</v>
      </c>
      <c r="B114">
        <v>55.5</v>
      </c>
      <c r="C114" t="s">
        <v>53</v>
      </c>
      <c r="D114">
        <v>18.607298231699254</v>
      </c>
      <c r="E114">
        <f t="shared" si="3"/>
        <v>36.892701768300746</v>
      </c>
    </row>
    <row r="115" spans="1:5" x14ac:dyDescent="0.25">
      <c r="A115" t="s">
        <v>148</v>
      </c>
      <c r="B115">
        <v>55.5</v>
      </c>
      <c r="C115" t="s">
        <v>53</v>
      </c>
      <c r="D115">
        <v>18.607298231699254</v>
      </c>
      <c r="E115">
        <f t="shared" si="3"/>
        <v>36.892701768300746</v>
      </c>
    </row>
    <row r="116" spans="1:5" x14ac:dyDescent="0.25">
      <c r="A116" t="s">
        <v>85</v>
      </c>
      <c r="B116">
        <v>74</v>
      </c>
      <c r="C116" t="s">
        <v>53</v>
      </c>
      <c r="D116">
        <v>18.607298231699254</v>
      </c>
      <c r="E116">
        <f t="shared" si="3"/>
        <v>55.392701768300746</v>
      </c>
    </row>
    <row r="117" spans="1:5" x14ac:dyDescent="0.25">
      <c r="A117" t="s">
        <v>15</v>
      </c>
      <c r="B117">
        <v>11.75</v>
      </c>
      <c r="C117" t="s">
        <v>16</v>
      </c>
      <c r="D117">
        <v>11.75</v>
      </c>
      <c r="E117">
        <f t="shared" si="3"/>
        <v>0</v>
      </c>
    </row>
    <row r="118" spans="1:5" x14ac:dyDescent="0.25">
      <c r="A118" t="s">
        <v>157</v>
      </c>
      <c r="B118">
        <v>0.30132536123567516</v>
      </c>
      <c r="C118" t="s">
        <v>152</v>
      </c>
      <c r="D118">
        <v>2.7537942202291981</v>
      </c>
      <c r="E118">
        <f t="shared" si="3"/>
        <v>-2.4524688589935231</v>
      </c>
    </row>
    <row r="119" spans="1:5" x14ac:dyDescent="0.25">
      <c r="A119" t="s">
        <v>156</v>
      </c>
      <c r="B119">
        <v>0.30132536123567516</v>
      </c>
      <c r="C119" t="s">
        <v>152</v>
      </c>
      <c r="D119">
        <v>2.7537942202291981</v>
      </c>
      <c r="E119">
        <f t="shared" si="3"/>
        <v>-2.4524688589935231</v>
      </c>
    </row>
    <row r="120" spans="1:5" x14ac:dyDescent="0.25">
      <c r="A120" t="s">
        <v>151</v>
      </c>
      <c r="B120">
        <v>0.60265072247135032</v>
      </c>
      <c r="C120" t="s">
        <v>152</v>
      </c>
      <c r="D120">
        <v>2.7537942202291981</v>
      </c>
      <c r="E120">
        <f t="shared" si="3"/>
        <v>-2.1511434977578476</v>
      </c>
    </row>
    <row r="121" spans="1:5" x14ac:dyDescent="0.25">
      <c r="A121" t="s">
        <v>154</v>
      </c>
      <c r="B121">
        <v>3.0132536123567517</v>
      </c>
      <c r="C121" t="s">
        <v>152</v>
      </c>
      <c r="D121">
        <v>2.7537942202291981</v>
      </c>
      <c r="E121">
        <f t="shared" si="3"/>
        <v>0.25945939212755365</v>
      </c>
    </row>
    <row r="122" spans="1:5" x14ac:dyDescent="0.25">
      <c r="A122" t="s">
        <v>155</v>
      </c>
      <c r="B122">
        <v>3.25</v>
      </c>
      <c r="C122" t="s">
        <v>152</v>
      </c>
      <c r="D122">
        <v>2.7537942202291981</v>
      </c>
      <c r="E122">
        <f t="shared" si="3"/>
        <v>0.49620577977080194</v>
      </c>
    </row>
    <row r="123" spans="1:5" x14ac:dyDescent="0.25">
      <c r="A123" t="s">
        <v>153</v>
      </c>
      <c r="B123">
        <v>9.0542102640757349</v>
      </c>
      <c r="C123" t="s">
        <v>152</v>
      </c>
      <c r="D123">
        <v>2.7537942202291981</v>
      </c>
      <c r="E123">
        <f t="shared" si="3"/>
        <v>6.3004160438465373</v>
      </c>
    </row>
    <row r="124" spans="1:5" x14ac:dyDescent="0.25">
      <c r="A124" t="s">
        <v>159</v>
      </c>
      <c r="B124">
        <v>14.25</v>
      </c>
      <c r="C124" t="s">
        <v>158</v>
      </c>
      <c r="D124">
        <v>14.458333333333332</v>
      </c>
      <c r="E124">
        <f t="shared" si="3"/>
        <v>-0.20833333333333215</v>
      </c>
    </row>
    <row r="125" spans="1:5" x14ac:dyDescent="0.25">
      <c r="A125" t="s">
        <v>158</v>
      </c>
      <c r="B125">
        <v>14.666666666666666</v>
      </c>
      <c r="C125" t="s">
        <v>158</v>
      </c>
      <c r="D125">
        <v>14.458333333333332</v>
      </c>
      <c r="E125">
        <f t="shared" si="3"/>
        <v>0.20833333333333393</v>
      </c>
    </row>
    <row r="126" spans="1:5" x14ac:dyDescent="0.25">
      <c r="A126" t="s">
        <v>17</v>
      </c>
      <c r="B126">
        <v>14.25</v>
      </c>
      <c r="C126" t="s">
        <v>17</v>
      </c>
      <c r="D126">
        <v>14.25</v>
      </c>
      <c r="E126">
        <f t="shared" si="3"/>
        <v>0</v>
      </c>
    </row>
    <row r="127" spans="1:5" x14ac:dyDescent="0.25">
      <c r="A127" t="s">
        <v>160</v>
      </c>
      <c r="B127">
        <v>6.0265072247135034</v>
      </c>
      <c r="C127" t="s">
        <v>161</v>
      </c>
      <c r="D127">
        <v>9.5132536123567526</v>
      </c>
      <c r="E127">
        <f t="shared" si="3"/>
        <v>-3.4867463876432492</v>
      </c>
    </row>
    <row r="128" spans="1:5" x14ac:dyDescent="0.25">
      <c r="A128" t="s">
        <v>162</v>
      </c>
      <c r="B128">
        <v>13</v>
      </c>
      <c r="C128" t="s">
        <v>161</v>
      </c>
      <c r="D128">
        <v>9.5132536123567526</v>
      </c>
      <c r="E128">
        <f t="shared" si="3"/>
        <v>3.4867463876432474</v>
      </c>
    </row>
    <row r="129" spans="1:5" x14ac:dyDescent="0.25">
      <c r="A129" t="s">
        <v>18</v>
      </c>
      <c r="B129">
        <v>2.2903836571998006</v>
      </c>
      <c r="C129" t="s">
        <v>18</v>
      </c>
      <c r="D129">
        <v>2.2903836571998006</v>
      </c>
      <c r="E129">
        <f t="shared" si="3"/>
        <v>0</v>
      </c>
    </row>
    <row r="130" spans="1:5" x14ac:dyDescent="0.25">
      <c r="A130" t="s">
        <v>19</v>
      </c>
      <c r="B130">
        <v>14.666666666666666</v>
      </c>
      <c r="C130" t="s">
        <v>20</v>
      </c>
      <c r="D130">
        <v>14.666666666666666</v>
      </c>
      <c r="E130">
        <f t="shared" ref="E130:E161" si="4">B130-D130</f>
        <v>0</v>
      </c>
    </row>
    <row r="131" spans="1:5" x14ac:dyDescent="0.25">
      <c r="A131" t="s">
        <v>163</v>
      </c>
      <c r="B131">
        <v>2.2903836571998006</v>
      </c>
      <c r="C131" t="s">
        <v>164</v>
      </c>
      <c r="D131">
        <v>23.467787742899851</v>
      </c>
      <c r="E131">
        <f t="shared" si="4"/>
        <v>-21.177404085700051</v>
      </c>
    </row>
    <row r="132" spans="1:5" x14ac:dyDescent="0.25">
      <c r="A132" t="s">
        <v>164</v>
      </c>
      <c r="B132">
        <v>4.5807673143996013</v>
      </c>
      <c r="C132" t="s">
        <v>164</v>
      </c>
      <c r="D132">
        <v>23.467787742899851</v>
      </c>
      <c r="E132">
        <f t="shared" si="4"/>
        <v>-18.88702042850025</v>
      </c>
    </row>
    <row r="133" spans="1:5" x14ac:dyDescent="0.25">
      <c r="A133" t="s">
        <v>166</v>
      </c>
      <c r="B133">
        <v>13</v>
      </c>
      <c r="C133" t="s">
        <v>164</v>
      </c>
      <c r="D133">
        <v>23.467787742899851</v>
      </c>
      <c r="E133">
        <f t="shared" si="4"/>
        <v>-10.467787742899851</v>
      </c>
    </row>
    <row r="134" spans="1:5" x14ac:dyDescent="0.25">
      <c r="A134" t="s">
        <v>165</v>
      </c>
      <c r="B134">
        <v>74</v>
      </c>
      <c r="C134" t="s">
        <v>164</v>
      </c>
      <c r="D134">
        <v>23.467787742899851</v>
      </c>
      <c r="E134">
        <f t="shared" si="4"/>
        <v>50.532212257100149</v>
      </c>
    </row>
    <row r="135" spans="1:5" x14ac:dyDescent="0.25">
      <c r="A135" t="s">
        <v>21</v>
      </c>
      <c r="B135">
        <v>0.30132536123567516</v>
      </c>
      <c r="C135" t="s">
        <v>22</v>
      </c>
      <c r="D135">
        <v>0.30132536123567516</v>
      </c>
      <c r="E135">
        <f t="shared" si="4"/>
        <v>0</v>
      </c>
    </row>
    <row r="136" spans="1:5" x14ac:dyDescent="0.25">
      <c r="A136" t="s">
        <v>23</v>
      </c>
      <c r="B136">
        <v>14.666666666666666</v>
      </c>
      <c r="C136" t="s">
        <v>24</v>
      </c>
      <c r="D136">
        <v>14.666666666666666</v>
      </c>
      <c r="E136">
        <f t="shared" si="4"/>
        <v>0</v>
      </c>
    </row>
    <row r="137" spans="1:5" x14ac:dyDescent="0.25">
      <c r="A137" t="s">
        <v>25</v>
      </c>
      <c r="B137">
        <v>14.666666666666666</v>
      </c>
      <c r="C137" t="s">
        <v>26</v>
      </c>
      <c r="D137">
        <v>14.666666666666666</v>
      </c>
      <c r="E137">
        <f t="shared" si="4"/>
        <v>0</v>
      </c>
    </row>
    <row r="138" spans="1:5" x14ac:dyDescent="0.25">
      <c r="A138" t="s">
        <v>27</v>
      </c>
      <c r="B138">
        <v>14.666666666666666</v>
      </c>
      <c r="C138" t="s">
        <v>28</v>
      </c>
      <c r="D138">
        <v>14.666666666666666</v>
      </c>
      <c r="E138">
        <f t="shared" si="4"/>
        <v>0</v>
      </c>
    </row>
    <row r="139" spans="1:5" x14ac:dyDescent="0.25">
      <c r="A139" t="s">
        <v>29</v>
      </c>
      <c r="B139">
        <v>15.666666666666666</v>
      </c>
      <c r="C139" t="s">
        <v>30</v>
      </c>
      <c r="D139">
        <v>15.666666666666666</v>
      </c>
      <c r="E139">
        <f t="shared" si="4"/>
        <v>0</v>
      </c>
    </row>
    <row r="140" spans="1:5" x14ac:dyDescent="0.25">
      <c r="A140" t="s">
        <v>31</v>
      </c>
      <c r="B140">
        <v>14.666666666666666</v>
      </c>
      <c r="C140" t="s">
        <v>32</v>
      </c>
      <c r="D140">
        <v>14.666666666666666</v>
      </c>
      <c r="E140">
        <f t="shared" si="4"/>
        <v>0</v>
      </c>
    </row>
    <row r="141" spans="1:5" x14ac:dyDescent="0.25">
      <c r="A141" t="s">
        <v>167</v>
      </c>
      <c r="B141">
        <v>17.25</v>
      </c>
      <c r="C141" t="s">
        <v>168</v>
      </c>
      <c r="D141">
        <v>20.916666666666668</v>
      </c>
      <c r="E141">
        <f t="shared" si="4"/>
        <v>-3.6666666666666679</v>
      </c>
    </row>
    <row r="142" spans="1:5" x14ac:dyDescent="0.25">
      <c r="A142" t="s">
        <v>170</v>
      </c>
      <c r="B142">
        <v>19.25</v>
      </c>
      <c r="C142" t="s">
        <v>168</v>
      </c>
      <c r="D142">
        <v>20.916666666666668</v>
      </c>
      <c r="E142">
        <f t="shared" si="4"/>
        <v>-1.6666666666666679</v>
      </c>
    </row>
    <row r="143" spans="1:5" x14ac:dyDescent="0.25">
      <c r="A143" t="s">
        <v>169</v>
      </c>
      <c r="B143">
        <v>26.25</v>
      </c>
      <c r="C143" t="s">
        <v>168</v>
      </c>
      <c r="D143">
        <v>20.916666666666668</v>
      </c>
      <c r="E143">
        <f t="shared" si="4"/>
        <v>5.3333333333333321</v>
      </c>
    </row>
    <row r="144" spans="1:5" x14ac:dyDescent="0.25">
      <c r="A144" t="s">
        <v>171</v>
      </c>
      <c r="B144">
        <v>15.666666666666666</v>
      </c>
      <c r="C144" t="s">
        <v>172</v>
      </c>
      <c r="D144">
        <v>17.5</v>
      </c>
      <c r="E144">
        <f t="shared" si="4"/>
        <v>-1.8333333333333339</v>
      </c>
    </row>
    <row r="145" spans="1:5" x14ac:dyDescent="0.25">
      <c r="A145" t="s">
        <v>173</v>
      </c>
      <c r="B145">
        <v>19.333333333333332</v>
      </c>
      <c r="C145" t="s">
        <v>172</v>
      </c>
      <c r="D145">
        <v>17.5</v>
      </c>
      <c r="E145">
        <f t="shared" si="4"/>
        <v>1.8333333333333321</v>
      </c>
    </row>
    <row r="146" spans="1:5" x14ac:dyDescent="0.25">
      <c r="A146" t="s">
        <v>178</v>
      </c>
      <c r="B146">
        <v>0.30132536123567516</v>
      </c>
      <c r="C146" t="s">
        <v>175</v>
      </c>
      <c r="D146">
        <v>1.6271569506726458</v>
      </c>
      <c r="E146">
        <f t="shared" si="4"/>
        <v>-1.3258315894369705</v>
      </c>
    </row>
    <row r="147" spans="1:5" x14ac:dyDescent="0.25">
      <c r="A147" t="s">
        <v>176</v>
      </c>
      <c r="B147">
        <v>0.30132536123567516</v>
      </c>
      <c r="C147" t="s">
        <v>175</v>
      </c>
      <c r="D147">
        <v>1.6271569506726458</v>
      </c>
      <c r="E147">
        <f t="shared" si="4"/>
        <v>-1.3258315894369705</v>
      </c>
    </row>
    <row r="148" spans="1:5" x14ac:dyDescent="0.25">
      <c r="A148" t="s">
        <v>174</v>
      </c>
      <c r="B148">
        <v>1.5066268061783759</v>
      </c>
      <c r="C148" t="s">
        <v>175</v>
      </c>
      <c r="D148">
        <v>1.6271569506726458</v>
      </c>
      <c r="E148">
        <f t="shared" si="4"/>
        <v>-0.12053014449426991</v>
      </c>
    </row>
    <row r="149" spans="1:5" x14ac:dyDescent="0.25">
      <c r="A149" t="s">
        <v>179</v>
      </c>
      <c r="B149">
        <v>3.0132536123567517</v>
      </c>
      <c r="C149" t="s">
        <v>175</v>
      </c>
      <c r="D149">
        <v>1.6271569506726458</v>
      </c>
      <c r="E149">
        <f t="shared" si="4"/>
        <v>1.3860966616841059</v>
      </c>
    </row>
    <row r="150" spans="1:5" x14ac:dyDescent="0.25">
      <c r="A150" t="s">
        <v>177</v>
      </c>
      <c r="B150">
        <v>3.0132536123567517</v>
      </c>
      <c r="C150" t="s">
        <v>175</v>
      </c>
      <c r="D150">
        <v>1.6271569506726458</v>
      </c>
      <c r="E150">
        <f t="shared" si="4"/>
        <v>1.3860966616841059</v>
      </c>
    </row>
    <row r="151" spans="1:5" x14ac:dyDescent="0.25">
      <c r="A151" t="s">
        <v>33</v>
      </c>
      <c r="B151">
        <v>13</v>
      </c>
      <c r="C151" t="s">
        <v>34</v>
      </c>
      <c r="D151">
        <v>13</v>
      </c>
      <c r="E151">
        <f t="shared" si="4"/>
        <v>0</v>
      </c>
    </row>
    <row r="152" spans="1:5" x14ac:dyDescent="0.25">
      <c r="A152" t="s">
        <v>35</v>
      </c>
      <c r="B152">
        <v>4</v>
      </c>
      <c r="C152" t="s">
        <v>35</v>
      </c>
      <c r="D152">
        <v>4</v>
      </c>
      <c r="E152">
        <f t="shared" si="4"/>
        <v>0</v>
      </c>
    </row>
    <row r="153" spans="1:5" x14ac:dyDescent="0.25">
      <c r="A153" t="s">
        <v>183</v>
      </c>
      <c r="B153">
        <v>14.5</v>
      </c>
      <c r="C153" t="s">
        <v>181</v>
      </c>
      <c r="D153">
        <v>35.944444444444443</v>
      </c>
      <c r="E153">
        <f t="shared" si="4"/>
        <v>-21.444444444444443</v>
      </c>
    </row>
    <row r="154" spans="1:5" x14ac:dyDescent="0.25">
      <c r="A154" t="s">
        <v>180</v>
      </c>
      <c r="B154">
        <v>19.333333333333332</v>
      </c>
      <c r="C154" t="s">
        <v>181</v>
      </c>
      <c r="D154">
        <v>35.944444444444443</v>
      </c>
      <c r="E154">
        <f t="shared" si="4"/>
        <v>-16.611111111111111</v>
      </c>
    </row>
    <row r="155" spans="1:5" x14ac:dyDescent="0.25">
      <c r="A155" t="s">
        <v>182</v>
      </c>
      <c r="B155">
        <v>74</v>
      </c>
      <c r="C155" t="s">
        <v>181</v>
      </c>
      <c r="D155">
        <v>35.944444444444443</v>
      </c>
      <c r="E155">
        <f t="shared" si="4"/>
        <v>38.055555555555557</v>
      </c>
    </row>
    <row r="156" spans="1:5" x14ac:dyDescent="0.25">
      <c r="A156" t="s">
        <v>36</v>
      </c>
      <c r="B156">
        <v>5.4238166417538611</v>
      </c>
      <c r="C156" t="s">
        <v>37</v>
      </c>
      <c r="D156">
        <v>5.4238166417538611</v>
      </c>
      <c r="E156">
        <f t="shared" si="4"/>
        <v>0</v>
      </c>
    </row>
    <row r="157" spans="1:5" x14ac:dyDescent="0.25">
      <c r="A157" t="s">
        <v>38</v>
      </c>
      <c r="B157">
        <v>2.2903836571998006</v>
      </c>
      <c r="C157" t="s">
        <v>39</v>
      </c>
      <c r="D157">
        <v>2.2903836571998006</v>
      </c>
      <c r="E157">
        <f t="shared" si="4"/>
        <v>0</v>
      </c>
    </row>
  </sheetData>
  <autoFilter ref="A1:E157" xr:uid="{CBFA7057-86A1-4EAF-AB72-C11C72F12BB7}">
    <sortState xmlns:xlrd2="http://schemas.microsoft.com/office/spreadsheetml/2017/richdata2" ref="A2:E157">
      <sortCondition ref="C1:C157"/>
    </sortState>
  </autoFilter>
  <conditionalFormatting sqref="C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Fabiano</dc:creator>
  <cp:lastModifiedBy>Gianluca Fabiano</cp:lastModifiedBy>
  <dcterms:created xsi:type="dcterms:W3CDTF">2025-07-23T08:07:23Z</dcterms:created>
  <dcterms:modified xsi:type="dcterms:W3CDTF">2025-09-03T10:36:29Z</dcterms:modified>
</cp:coreProperties>
</file>