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"/>
    </mc:Choice>
  </mc:AlternateContent>
  <xr:revisionPtr revIDLastSave="444" documentId="8_{4CDB3EB4-C370-4265-ACF0-2AE8BDEC6B9D}" xr6:coauthVersionLast="47" xr6:coauthVersionMax="47" xr10:uidLastSave="{E200A9AE-97BC-4595-B968-0C4E7ABD6ACA}"/>
  <bookViews>
    <workbookView xWindow="28680" yWindow="-120" windowWidth="29040" windowHeight="15720" xr2:uid="{00000000-000D-0000-FFFF-FFFF00000000}"/>
  </bookViews>
  <sheets>
    <sheet name="source_cprd_aurum" sheetId="1" r:id="rId1"/>
    <sheet name="omop" sheetId="3" r:id="rId2"/>
    <sheet name="master" sheetId="4" r:id="rId3"/>
    <sheet name="notes" sheetId="2" r:id="rId4"/>
  </sheets>
  <definedNames>
    <definedName name="_xlnm._FilterDatabase" localSheetId="2" hidden="1">master!$A$1:$I$157</definedName>
    <definedName name="_xlnm._FilterDatabase" localSheetId="1" hidden="1">omop!$A$1:$D$37</definedName>
    <definedName name="_xlnm._FilterDatabase" localSheetId="0" hidden="1">source_cprd_aurum!$A$1:$I$158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4" l="1"/>
  <c r="H49" i="1"/>
  <c r="C5" i="3"/>
  <c r="H153" i="1"/>
  <c r="H144" i="1"/>
  <c r="H143" i="1"/>
  <c r="B42" i="4" s="1"/>
  <c r="I42" i="4" s="1"/>
  <c r="H142" i="1"/>
  <c r="B41" i="4" s="1"/>
  <c r="I41" i="4" s="1"/>
  <c r="H141" i="1"/>
  <c r="B38" i="4" s="1"/>
  <c r="I38" i="4" s="1"/>
  <c r="H128" i="1"/>
  <c r="B25" i="4" s="1"/>
  <c r="I25" i="4" s="1"/>
  <c r="H127" i="1"/>
  <c r="B24" i="4" s="1"/>
  <c r="I24" i="4" s="1"/>
  <c r="H126" i="1"/>
  <c r="B19" i="4" s="1"/>
  <c r="I19" i="4" s="1"/>
  <c r="H125" i="1"/>
  <c r="H124" i="1"/>
  <c r="H123" i="1"/>
  <c r="B22" i="4" s="1"/>
  <c r="I22" i="4" s="1"/>
  <c r="H122" i="1"/>
  <c r="B40" i="4" s="1"/>
  <c r="I40" i="4" s="1"/>
  <c r="H121" i="1"/>
  <c r="B34" i="4" s="1"/>
  <c r="I34" i="4" s="1"/>
  <c r="H120" i="1"/>
  <c r="B4" i="4" s="1"/>
  <c r="I4" i="4" s="1"/>
  <c r="H119" i="1"/>
  <c r="B97" i="4" s="1"/>
  <c r="C16" i="3" s="1"/>
  <c r="H118" i="1"/>
  <c r="B3" i="4" s="1"/>
  <c r="I3" i="4" s="1"/>
  <c r="H117" i="1"/>
  <c r="H116" i="1"/>
  <c r="H103" i="1"/>
  <c r="H100" i="1"/>
  <c r="B107" i="4" s="1"/>
  <c r="C26" i="3" s="1"/>
  <c r="H85" i="1"/>
  <c r="H84" i="1"/>
  <c r="B39" i="4" s="1"/>
  <c r="I39" i="4" s="1"/>
  <c r="H83" i="1"/>
  <c r="B37" i="4" s="1"/>
  <c r="I37" i="4" s="1"/>
  <c r="H48" i="1"/>
  <c r="B126" i="4" s="1"/>
  <c r="I126" i="4" s="1"/>
  <c r="H47" i="1"/>
  <c r="H46" i="1"/>
  <c r="H45" i="1"/>
  <c r="H44" i="1"/>
  <c r="B43" i="4" s="1"/>
  <c r="I43" i="4" s="1"/>
  <c r="H43" i="1"/>
  <c r="B77" i="4" s="1"/>
  <c r="I77" i="4" s="1"/>
  <c r="H42" i="1"/>
  <c r="B48" i="4" s="1"/>
  <c r="I48" i="4" s="1"/>
  <c r="H41" i="1"/>
  <c r="B47" i="4" s="1"/>
  <c r="I47" i="4" s="1"/>
  <c r="H40" i="1"/>
  <c r="B20" i="4" s="1"/>
  <c r="I20" i="4" s="1"/>
  <c r="H39" i="1"/>
  <c r="H38" i="1"/>
  <c r="H37" i="1"/>
  <c r="H36" i="1"/>
  <c r="B15" i="4" s="1"/>
  <c r="I15" i="4" s="1"/>
  <c r="H35" i="1"/>
  <c r="B8" i="4" s="1"/>
  <c r="I8" i="4" s="1"/>
  <c r="H34" i="1"/>
  <c r="B79" i="4" s="1"/>
  <c r="I79" i="4" s="1"/>
  <c r="H33" i="1"/>
  <c r="B111" i="4" s="1"/>
  <c r="I111" i="4" s="1"/>
  <c r="H32" i="1"/>
  <c r="B70" i="4" s="1"/>
  <c r="I70" i="4" s="1"/>
  <c r="H31" i="1"/>
  <c r="H30" i="1"/>
  <c r="H29" i="1"/>
  <c r="H28" i="1"/>
  <c r="B125" i="4" s="1"/>
  <c r="I125" i="4" s="1"/>
  <c r="H27" i="1"/>
  <c r="B12" i="4" s="1"/>
  <c r="I12" i="4" s="1"/>
  <c r="H26" i="1"/>
  <c r="B78" i="4" s="1"/>
  <c r="I78" i="4" s="1"/>
  <c r="H25" i="1"/>
  <c r="B11" i="4" s="1"/>
  <c r="I11" i="4" s="1"/>
  <c r="H24" i="1"/>
  <c r="B10" i="4" s="1"/>
  <c r="I10" i="4" s="1"/>
  <c r="H23" i="1"/>
  <c r="H22" i="1"/>
  <c r="H21" i="1"/>
  <c r="B124" i="4" s="1"/>
  <c r="I124" i="4" s="1"/>
  <c r="H20" i="1"/>
  <c r="B68" i="4" s="1"/>
  <c r="I68" i="4" s="1"/>
  <c r="H19" i="1"/>
  <c r="B80" i="4" s="1"/>
  <c r="I80" i="4" s="1"/>
  <c r="H18" i="1"/>
  <c r="B83" i="4" s="1"/>
  <c r="I83" i="4" s="1"/>
  <c r="H17" i="1"/>
  <c r="B99" i="4" s="1"/>
  <c r="C20" i="3" s="1"/>
  <c r="H16" i="1"/>
  <c r="B6" i="4" s="1"/>
  <c r="I6" i="4" s="1"/>
  <c r="H15" i="1"/>
  <c r="H14" i="1"/>
  <c r="H13" i="1"/>
  <c r="H12" i="1"/>
  <c r="B5" i="4" s="1"/>
  <c r="I5" i="4" s="1"/>
  <c r="H11" i="1"/>
  <c r="B114" i="4" s="1"/>
  <c r="I114" i="4" s="1"/>
  <c r="H9" i="1"/>
  <c r="H8" i="1"/>
  <c r="B35" i="4" s="1"/>
  <c r="I35" i="4" s="1"/>
  <c r="H7" i="1"/>
  <c r="B23" i="4" s="1"/>
  <c r="I23" i="4" s="1"/>
  <c r="H157" i="1"/>
  <c r="C126" i="4"/>
  <c r="C83" i="4"/>
  <c r="C109" i="4"/>
  <c r="C84" i="4"/>
  <c r="C85" i="4"/>
  <c r="C80" i="4"/>
  <c r="C114" i="4"/>
  <c r="C35" i="4"/>
  <c r="C18" i="4"/>
  <c r="C52" i="4"/>
  <c r="C23" i="4"/>
  <c r="C5" i="4"/>
  <c r="C6" i="4"/>
  <c r="C7" i="4"/>
  <c r="C8" i="4"/>
  <c r="C25" i="4"/>
  <c r="C37" i="4"/>
  <c r="C30" i="4"/>
  <c r="C38" i="4"/>
  <c r="C39" i="4"/>
  <c r="C22" i="4"/>
  <c r="C138" i="4"/>
  <c r="C20" i="4"/>
  <c r="C9" i="4"/>
  <c r="C36" i="4"/>
  <c r="C21" i="4"/>
  <c r="C27" i="4"/>
  <c r="C34" i="4"/>
  <c r="C10" i="4"/>
  <c r="C28" i="4"/>
  <c r="C11" i="4"/>
  <c r="C12" i="4"/>
  <c r="C13" i="4"/>
  <c r="C14" i="4"/>
  <c r="C19" i="4"/>
  <c r="C40" i="4"/>
  <c r="C41" i="4"/>
  <c r="C24" i="4"/>
  <c r="C15" i="4"/>
  <c r="C16" i="4"/>
  <c r="C17" i="4"/>
  <c r="C53" i="4"/>
  <c r="C73" i="4"/>
  <c r="C139" i="4"/>
  <c r="C140" i="4"/>
  <c r="C141" i="4"/>
  <c r="C142" i="4"/>
  <c r="C143" i="4"/>
  <c r="C144" i="4"/>
  <c r="C145" i="4"/>
  <c r="C146" i="4"/>
  <c r="C147" i="4"/>
  <c r="C42" i="4"/>
  <c r="C44" i="4"/>
  <c r="C54" i="4"/>
  <c r="C59" i="4"/>
  <c r="C60" i="4"/>
  <c r="C61" i="4"/>
  <c r="C45" i="4"/>
  <c r="C62" i="4"/>
  <c r="C63" i="4"/>
  <c r="C64" i="4"/>
  <c r="C157" i="4"/>
  <c r="C65" i="4"/>
  <c r="C148" i="4"/>
  <c r="C149" i="4"/>
  <c r="C150" i="4"/>
  <c r="C151" i="4"/>
  <c r="C123" i="4"/>
  <c r="C31" i="4"/>
  <c r="C32" i="4"/>
  <c r="C33" i="4"/>
  <c r="C56" i="4"/>
  <c r="C47" i="4"/>
  <c r="C48" i="4"/>
  <c r="C57" i="4"/>
  <c r="C112" i="4"/>
  <c r="C43" i="4"/>
  <c r="C58" i="4"/>
  <c r="C129" i="4"/>
  <c r="C29" i="4"/>
  <c r="C74" i="4"/>
  <c r="C130" i="4"/>
  <c r="C75" i="4"/>
  <c r="C131" i="4"/>
  <c r="C76" i="4"/>
  <c r="C115" i="4"/>
  <c r="C116" i="4"/>
  <c r="C117" i="4"/>
  <c r="C118" i="4"/>
  <c r="C119" i="4"/>
  <c r="C120" i="4"/>
  <c r="C121" i="4"/>
  <c r="C134" i="4"/>
  <c r="C136" i="4"/>
  <c r="C122" i="4"/>
  <c r="C135" i="4"/>
  <c r="C152" i="4"/>
  <c r="C153" i="4"/>
  <c r="C137" i="4"/>
  <c r="C51" i="4"/>
  <c r="C55" i="4"/>
  <c r="C154" i="4"/>
  <c r="C50" i="4"/>
  <c r="C68" i="4"/>
  <c r="C69" i="4"/>
  <c r="C70" i="4"/>
  <c r="C111" i="4"/>
  <c r="C113" i="4"/>
  <c r="C133" i="4"/>
  <c r="C110" i="4"/>
  <c r="C81" i="4"/>
  <c r="C67" i="4"/>
  <c r="C128" i="4"/>
  <c r="C3" i="4"/>
  <c r="C4" i="4"/>
  <c r="C46" i="4"/>
  <c r="C156" i="4"/>
  <c r="C72" i="4"/>
  <c r="C66" i="4"/>
  <c r="C132" i="4"/>
  <c r="C127" i="4"/>
  <c r="C71" i="4"/>
  <c r="C82" i="4"/>
  <c r="C124" i="4"/>
  <c r="C78" i="4"/>
  <c r="C125" i="4"/>
  <c r="C79" i="4"/>
  <c r="C26" i="4"/>
  <c r="C155" i="4"/>
  <c r="C2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77" i="4"/>
  <c r="C4" i="3"/>
  <c r="C6" i="3"/>
  <c r="C8" i="3"/>
  <c r="C9" i="3"/>
  <c r="C11" i="3"/>
  <c r="C13" i="3"/>
  <c r="C14" i="3"/>
  <c r="C15" i="3"/>
  <c r="C17" i="3"/>
  <c r="C21" i="3"/>
  <c r="C24" i="3"/>
  <c r="C2" i="3"/>
  <c r="B133" i="4"/>
  <c r="I133" i="4" s="1"/>
  <c r="B21" i="4"/>
  <c r="I21" i="4" s="1"/>
  <c r="B55" i="4"/>
  <c r="I55" i="4" s="1"/>
  <c r="B36" i="4"/>
  <c r="I36" i="4" s="1"/>
  <c r="B51" i="4"/>
  <c r="I51" i="4" s="1"/>
  <c r="B109" i="4"/>
  <c r="I109" i="4" s="1"/>
  <c r="B29" i="4"/>
  <c r="I29" i="4" s="1"/>
  <c r="B93" i="4"/>
  <c r="C37" i="3" s="1"/>
  <c r="B17" i="4"/>
  <c r="I17" i="4" s="1"/>
  <c r="B16" i="4"/>
  <c r="I16" i="4" s="1"/>
  <c r="B14" i="4"/>
  <c r="I14" i="4" s="1"/>
  <c r="B13" i="4"/>
  <c r="I13" i="4" s="1"/>
  <c r="B7" i="4"/>
  <c r="I7" i="4" s="1"/>
  <c r="B28" i="4"/>
  <c r="I28" i="4" s="1"/>
  <c r="B69" i="4"/>
  <c r="I69" i="4" s="1"/>
  <c r="B27" i="4"/>
  <c r="I27" i="4" s="1"/>
  <c r="B67" i="4"/>
  <c r="I67" i="4" s="1"/>
  <c r="B82" i="4"/>
  <c r="I82" i="4" s="1"/>
  <c r="B18" i="4"/>
  <c r="I18" i="4" s="1"/>
  <c r="B9" i="4"/>
  <c r="I9" i="4" s="1"/>
  <c r="B91" i="4"/>
  <c r="C7" i="3" s="1"/>
  <c r="B108" i="4"/>
  <c r="C22" i="3" s="1"/>
  <c r="H82" i="1"/>
  <c r="B137" i="4" s="1"/>
  <c r="I137" i="4" s="1"/>
  <c r="H81" i="1"/>
  <c r="B135" i="4" s="1"/>
  <c r="I135" i="4" s="1"/>
  <c r="H80" i="1"/>
  <c r="B136" i="4" s="1"/>
  <c r="I136" i="4" s="1"/>
  <c r="H79" i="1"/>
  <c r="B134" i="4" s="1"/>
  <c r="I134" i="4" s="1"/>
  <c r="H140" i="1"/>
  <c r="B132" i="4" s="1"/>
  <c r="I132" i="4" s="1"/>
  <c r="H78" i="1"/>
  <c r="B115" i="4" s="1"/>
  <c r="I115" i="4" s="1"/>
  <c r="H77" i="1"/>
  <c r="B121" i="4" s="1"/>
  <c r="I121" i="4" s="1"/>
  <c r="H76" i="1"/>
  <c r="B120" i="4" s="1"/>
  <c r="I120" i="4" s="1"/>
  <c r="H75" i="1"/>
  <c r="B119" i="4" s="1"/>
  <c r="I119" i="4" s="1"/>
  <c r="H6" i="1"/>
  <c r="B118" i="4" s="1"/>
  <c r="I118" i="4" s="1"/>
  <c r="H139" i="1"/>
  <c r="B72" i="4" s="1"/>
  <c r="I72" i="4" s="1"/>
  <c r="H74" i="1"/>
  <c r="B117" i="4" s="1"/>
  <c r="I117" i="4" s="1"/>
  <c r="H73" i="1"/>
  <c r="B116" i="4" s="1"/>
  <c r="I116" i="4" s="1"/>
  <c r="H72" i="1"/>
  <c r="B122" i="4" s="1"/>
  <c r="I122" i="4" s="1"/>
  <c r="H10" i="1"/>
  <c r="B50" i="4" s="1"/>
  <c r="I50" i="4" s="1"/>
  <c r="H138" i="1"/>
  <c r="B66" i="4" s="1"/>
  <c r="I66" i="4" s="1"/>
  <c r="H71" i="1"/>
  <c r="B76" i="4" s="1"/>
  <c r="I76" i="4" s="1"/>
  <c r="H152" i="1"/>
  <c r="B131" i="4" s="1"/>
  <c r="I131" i="4" s="1"/>
  <c r="H70" i="1"/>
  <c r="B75" i="4" s="1"/>
  <c r="I75" i="4" s="1"/>
  <c r="H146" i="1"/>
  <c r="B130" i="4" s="1"/>
  <c r="I130" i="4" s="1"/>
  <c r="H151" i="1"/>
  <c r="B73" i="4" s="1"/>
  <c r="I73" i="4" s="1"/>
  <c r="H150" i="1"/>
  <c r="B92" i="4" s="1"/>
  <c r="C35" i="3" s="1"/>
  <c r="H69" i="1"/>
  <c r="B74" i="4" s="1"/>
  <c r="I74" i="4" s="1"/>
  <c r="H115" i="1"/>
  <c r="B86" i="4" s="1"/>
  <c r="C33" i="3" s="1"/>
  <c r="H68" i="1"/>
  <c r="B129" i="4" s="1"/>
  <c r="I129" i="4" s="1"/>
  <c r="H149" i="1"/>
  <c r="B2" i="4" s="1"/>
  <c r="I2" i="4" s="1"/>
  <c r="H137" i="1"/>
  <c r="B87" i="4" s="1"/>
  <c r="C12" i="3" s="1"/>
  <c r="H136" i="1"/>
  <c r="B127" i="4" s="1"/>
  <c r="I127" i="4" s="1"/>
  <c r="H135" i="1"/>
  <c r="B123" i="4" s="1"/>
  <c r="I123" i="4" s="1"/>
  <c r="H67" i="1"/>
  <c r="B94" i="4" s="1"/>
  <c r="C30" i="3" s="1"/>
  <c r="H134" i="1"/>
  <c r="B89" i="4" s="1"/>
  <c r="C29" i="3" s="1"/>
  <c r="H145" i="1"/>
  <c r="B26" i="4" s="1"/>
  <c r="I26" i="4" s="1"/>
  <c r="H148" i="1"/>
  <c r="B90" i="4" s="1"/>
  <c r="C31" i="3" s="1"/>
  <c r="H66" i="1"/>
  <c r="B58" i="4" s="1"/>
  <c r="I58" i="4" s="1"/>
  <c r="H65" i="1"/>
  <c r="B96" i="4" s="1"/>
  <c r="C19" i="3" s="1"/>
  <c r="H64" i="1"/>
  <c r="B81" i="4" s="1"/>
  <c r="I81" i="4" s="1"/>
  <c r="H63" i="1"/>
  <c r="B112" i="4" s="1"/>
  <c r="I112" i="4" s="1"/>
  <c r="H62" i="1"/>
  <c r="B57" i="4" s="1"/>
  <c r="I57" i="4" s="1"/>
  <c r="H61" i="1"/>
  <c r="B56" i="4" s="1"/>
  <c r="I56" i="4" s="1"/>
  <c r="H158" i="1"/>
  <c r="B30" i="4" s="1"/>
  <c r="I30" i="4" s="1"/>
  <c r="B106" i="4"/>
  <c r="C36" i="3" s="1"/>
  <c r="H156" i="1"/>
  <c r="B33" i="4" s="1"/>
  <c r="I33" i="4" s="1"/>
  <c r="H155" i="1"/>
  <c r="B32" i="4" s="1"/>
  <c r="I32" i="4" s="1"/>
  <c r="H154" i="1"/>
  <c r="B31" i="4" s="1"/>
  <c r="I31" i="4" s="1"/>
  <c r="H133" i="1"/>
  <c r="B71" i="4" s="1"/>
  <c r="I71" i="4" s="1"/>
  <c r="H132" i="1"/>
  <c r="B103" i="4" s="1"/>
  <c r="C10" i="3" s="1"/>
  <c r="H131" i="1"/>
  <c r="B95" i="4" s="1"/>
  <c r="C18" i="3" s="1"/>
  <c r="H101" i="1"/>
  <c r="B65" i="4" s="1"/>
  <c r="I65" i="4" s="1"/>
  <c r="H60" i="1"/>
  <c r="B64" i="4" s="1"/>
  <c r="I64" i="4" s="1"/>
  <c r="H59" i="1"/>
  <c r="B102" i="4" s="1"/>
  <c r="C32" i="3" s="1"/>
  <c r="H58" i="1"/>
  <c r="B98" i="4" s="1"/>
  <c r="C23" i="3" s="1"/>
  <c r="H57" i="1"/>
  <c r="B110" i="4" s="1"/>
  <c r="I110" i="4" s="1"/>
  <c r="H56" i="1"/>
  <c r="B63" i="4" s="1"/>
  <c r="I63" i="4" s="1"/>
  <c r="H55" i="1"/>
  <c r="B62" i="4" s="1"/>
  <c r="I62" i="4" s="1"/>
  <c r="H114" i="1"/>
  <c r="B59" i="4" s="1"/>
  <c r="I59" i="4" s="1"/>
  <c r="H113" i="1"/>
  <c r="B45" i="4" s="1"/>
  <c r="I45" i="4" s="1"/>
  <c r="H54" i="1"/>
  <c r="B104" i="4" s="1"/>
  <c r="C28" i="3" s="1"/>
  <c r="H112" i="1"/>
  <c r="B101" i="4" s="1"/>
  <c r="C27" i="3" s="1"/>
  <c r="H53" i="1"/>
  <c r="B100" i="4" s="1"/>
  <c r="C25" i="3" s="1"/>
  <c r="H52" i="1"/>
  <c r="B61" i="4" s="1"/>
  <c r="I61" i="4" s="1"/>
  <c r="H51" i="1"/>
  <c r="B60" i="4" s="1"/>
  <c r="I60" i="4" s="1"/>
  <c r="H111" i="1"/>
  <c r="B54" i="4" s="1"/>
  <c r="I54" i="4" s="1"/>
  <c r="H50" i="1"/>
  <c r="B44" i="4" s="1"/>
  <c r="I44" i="4" s="1"/>
  <c r="H5" i="1"/>
  <c r="B113" i="4" s="1"/>
  <c r="I113" i="4" s="1"/>
  <c r="H147" i="1"/>
  <c r="B105" i="4" s="1"/>
  <c r="C34" i="3" s="1"/>
  <c r="H110" i="1"/>
  <c r="B128" i="4" s="1"/>
  <c r="I128" i="4" s="1"/>
  <c r="H130" i="1"/>
  <c r="B53" i="4" s="1"/>
  <c r="I53" i="4" s="1"/>
  <c r="H109" i="1"/>
  <c r="B52" i="4" s="1"/>
  <c r="I52" i="4" s="1"/>
  <c r="H108" i="1"/>
  <c r="B46" i="4" s="1"/>
  <c r="I46" i="4" s="1"/>
  <c r="H107" i="1"/>
  <c r="B49" i="4" s="1"/>
  <c r="I49" i="4" s="1"/>
  <c r="H99" i="1"/>
  <c r="B147" i="4" s="1"/>
  <c r="I147" i="4" s="1"/>
  <c r="H129" i="1"/>
  <c r="B146" i="4" s="1"/>
  <c r="I146" i="4" s="1"/>
  <c r="H98" i="1"/>
  <c r="B145" i="4" s="1"/>
  <c r="I145" i="4" s="1"/>
  <c r="H97" i="1"/>
  <c r="B151" i="4" s="1"/>
  <c r="I151" i="4" s="1"/>
  <c r="H96" i="1"/>
  <c r="B144" i="4" s="1"/>
  <c r="I144" i="4" s="1"/>
  <c r="H95" i="1"/>
  <c r="B85" i="4" s="1"/>
  <c r="I85" i="4" s="1"/>
  <c r="B157" i="4"/>
  <c r="I157" i="4" s="1"/>
  <c r="H4" i="1"/>
  <c r="B143" i="4" s="1"/>
  <c r="I143" i="4" s="1"/>
  <c r="H94" i="1"/>
  <c r="B154" i="4" s="1"/>
  <c r="I154" i="4" s="1"/>
  <c r="H93" i="1"/>
  <c r="B150" i="4" s="1"/>
  <c r="I150" i="4" s="1"/>
  <c r="H92" i="1"/>
  <c r="B142" i="4" s="1"/>
  <c r="I142" i="4" s="1"/>
  <c r="H91" i="1"/>
  <c r="B141" i="4" s="1"/>
  <c r="I141" i="4" s="1"/>
  <c r="H3" i="1"/>
  <c r="B140" i="4" s="1"/>
  <c r="I140" i="4" s="1"/>
  <c r="H90" i="1"/>
  <c r="B84" i="4" s="1"/>
  <c r="I84" i="4" s="1"/>
  <c r="H89" i="1"/>
  <c r="B149" i="4" s="1"/>
  <c r="I149" i="4" s="1"/>
  <c r="H88" i="1"/>
  <c r="B139" i="4" s="1"/>
  <c r="I139" i="4" s="1"/>
  <c r="H102" i="1"/>
  <c r="B148" i="4" s="1"/>
  <c r="I148" i="4" s="1"/>
  <c r="H106" i="1"/>
  <c r="B88" i="4" s="1"/>
  <c r="C3" i="3" s="1"/>
  <c r="H87" i="1"/>
  <c r="B153" i="4" s="1"/>
  <c r="I153" i="4" s="1"/>
  <c r="H86" i="1"/>
  <c r="B152" i="4" s="1"/>
  <c r="I152" i="4" s="1"/>
  <c r="H2" i="1"/>
  <c r="B138" i="4" s="1"/>
  <c r="I138" i="4" s="1"/>
  <c r="H105" i="1"/>
  <c r="B155" i="4" s="1"/>
  <c r="I155" i="4" s="1"/>
  <c r="H104" i="1"/>
  <c r="B156" i="4" s="1"/>
  <c r="I156" i="4" s="1"/>
  <c r="I96" i="4" l="1"/>
  <c r="I88" i="4"/>
  <c r="I105" i="4"/>
  <c r="I97" i="4"/>
  <c r="I89" i="4"/>
  <c r="I103" i="4"/>
  <c r="I95" i="4"/>
  <c r="I87" i="4"/>
  <c r="I102" i="4"/>
  <c r="I94" i="4"/>
  <c r="I86" i="4"/>
  <c r="I101" i="4"/>
  <c r="I93" i="4"/>
  <c r="I108" i="4"/>
  <c r="I100" i="4"/>
  <c r="I92" i="4"/>
  <c r="I104" i="4"/>
  <c r="I107" i="4"/>
  <c r="I99" i="4"/>
  <c r="I91" i="4"/>
  <c r="I106" i="4"/>
  <c r="I98" i="4"/>
  <c r="I90" i="4"/>
</calcChain>
</file>

<file path=xl/sharedStrings.xml><?xml version="1.0" encoding="utf-8"?>
<sst xmlns="http://schemas.openxmlformats.org/spreadsheetml/2006/main" count="1574" uniqueCount="334">
  <si>
    <t>Notes</t>
  </si>
  <si>
    <t>category</t>
  </si>
  <si>
    <t>General Medical Practitioner</t>
  </si>
  <si>
    <t>Receptionist</t>
  </si>
  <si>
    <t>Manager</t>
  </si>
  <si>
    <t>Community Practitioner</t>
  </si>
  <si>
    <t>Nurse</t>
  </si>
  <si>
    <t>Health Care Support Worker</t>
  </si>
  <si>
    <t>Clerical Worker</t>
  </si>
  <si>
    <t>System Administrator</t>
  </si>
  <si>
    <t>Healthcare Assistant</t>
  </si>
  <si>
    <t>Salaried General Practitioner</t>
  </si>
  <si>
    <t>Community Administrator</t>
  </si>
  <si>
    <t>Community Nurse</t>
  </si>
  <si>
    <t>Desktop Support Administrator</t>
  </si>
  <si>
    <t>Senior Administrator</t>
  </si>
  <si>
    <t>Specialist Nurse Practitioner</t>
  </si>
  <si>
    <t>Sessional GP</t>
  </si>
  <si>
    <t>Medical Secretary</t>
  </si>
  <si>
    <t>Secretary</t>
  </si>
  <si>
    <t>GP Registrar</t>
  </si>
  <si>
    <t>Staff Nurse</t>
  </si>
  <si>
    <t>Dispenser</t>
  </si>
  <si>
    <t>Phlebotomist</t>
  </si>
  <si>
    <t>Locum GP</t>
  </si>
  <si>
    <t>Pharmacist</t>
  </si>
  <si>
    <t>Consultant</t>
  </si>
  <si>
    <t>Senior Manager</t>
  </si>
  <si>
    <t>Clinical Coder</t>
  </si>
  <si>
    <t>Associate Practitioner - General Practitioner</t>
  </si>
  <si>
    <t>Sister/Charge Nurse</t>
  </si>
  <si>
    <t>Associate Practitioner - Nurse</t>
  </si>
  <si>
    <t>Nurse Manager</t>
  </si>
  <si>
    <t>Enrolled Nurse</t>
  </si>
  <si>
    <t>Nurse Consultant</t>
  </si>
  <si>
    <t>Appointments Clerk</t>
  </si>
  <si>
    <t>Technician - Admin &amp; Clerical</t>
  </si>
  <si>
    <t>System Worker</t>
  </si>
  <si>
    <t>Helpdesk Administrator</t>
  </si>
  <si>
    <t>Medical Records Clerk</t>
  </si>
  <si>
    <t>Medical Technical Officer - Pharmacy</t>
  </si>
  <si>
    <t>Desktop Support Technician</t>
  </si>
  <si>
    <t>Other Community Health Service - Admin Clerk</t>
  </si>
  <si>
    <t>Clinical Assistant</t>
  </si>
  <si>
    <t>Assistant Practitioner</t>
  </si>
  <si>
    <t>Network Administrator</t>
  </si>
  <si>
    <t>Clinical Application Administrator</t>
  </si>
  <si>
    <t>Physiotherapist</t>
  </si>
  <si>
    <t>Health Records Administrator</t>
  </si>
  <si>
    <t>Practitioner</t>
  </si>
  <si>
    <t>Health Records Clerk</t>
  </si>
  <si>
    <t>Helper/Assistant</t>
  </si>
  <si>
    <t>Advanced Practitioner</t>
  </si>
  <si>
    <t>Helpdesk Technician</t>
  </si>
  <si>
    <t>Other Community Health Service</t>
  </si>
  <si>
    <t>Caldicott Guardian</t>
  </si>
  <si>
    <t>Information Officer</t>
  </si>
  <si>
    <t>Associate Practitioner</t>
  </si>
  <si>
    <t>Medical Student</t>
  </si>
  <si>
    <t>Counsellor</t>
  </si>
  <si>
    <t>Network Technician</t>
  </si>
  <si>
    <t>Staff Grade</t>
  </si>
  <si>
    <t>Paramedic</t>
  </si>
  <si>
    <t>Paramedic Specialist Practitioner</t>
  </si>
  <si>
    <t>Medical Records Manager</t>
  </si>
  <si>
    <t>Chiropodist/Podiatrist</t>
  </si>
  <si>
    <t>Associate Specialist</t>
  </si>
  <si>
    <t>Officer</t>
  </si>
  <si>
    <t>Specialist Practitioner</t>
  </si>
  <si>
    <t>Assistant GP</t>
  </si>
  <si>
    <t>Modern Matron</t>
  </si>
  <si>
    <t>House Officer - Post Registration</t>
  </si>
  <si>
    <t>Paramedic Manager</t>
  </si>
  <si>
    <t>Dietitian</t>
  </si>
  <si>
    <t>Deputising Doctor</t>
  </si>
  <si>
    <t>Community Mental Health Nurse</t>
  </si>
  <si>
    <t>Art Therapist</t>
  </si>
  <si>
    <t>Analyst</t>
  </si>
  <si>
    <t>Osteopath</t>
  </si>
  <si>
    <t>Clinical Director - Medical</t>
  </si>
  <si>
    <t>Art Therapist Manager</t>
  </si>
  <si>
    <t>Availability Monitor</t>
  </si>
  <si>
    <t>Child Protection worker</t>
  </si>
  <si>
    <t>Trainee Practitioner</t>
  </si>
  <si>
    <t>Radiologist</t>
  </si>
  <si>
    <t>Therapist</t>
  </si>
  <si>
    <t>Hospital Practitioner</t>
  </si>
  <si>
    <t>Finance Director</t>
  </si>
  <si>
    <t>Intermediate Care staff</t>
  </si>
  <si>
    <t>Porter</t>
  </si>
  <si>
    <t>Medical Technical Officer</t>
  </si>
  <si>
    <t>Student Practice Nurse</t>
  </si>
  <si>
    <t>Senior House Officer</t>
  </si>
  <si>
    <t>Waiting List Manager</t>
  </si>
  <si>
    <t>Physiotherapist Specialist Practitioner</t>
  </si>
  <si>
    <t>Physiotherapist Manager</t>
  </si>
  <si>
    <t>Outpatient Manager</t>
  </si>
  <si>
    <t>Physician Assistant</t>
  </si>
  <si>
    <t>Clinical Team Manager</t>
  </si>
  <si>
    <t>Call Operator</t>
  </si>
  <si>
    <t>Radiographer</t>
  </si>
  <si>
    <t>Patient Welfare Officer</t>
  </si>
  <si>
    <t>Researcher</t>
  </si>
  <si>
    <t>Clinical Director</t>
  </si>
  <si>
    <t>Community Team Manager</t>
  </si>
  <si>
    <t>Psychotherapist</t>
  </si>
  <si>
    <t>Regional Dental Officer</t>
  </si>
  <si>
    <t>Physiotherapist Consultant</t>
  </si>
  <si>
    <t>Student Nurse - Adult Branch</t>
  </si>
  <si>
    <t>Clinical Psychologist</t>
  </si>
  <si>
    <t>Art Therapist Specialist Practitioner</t>
  </si>
  <si>
    <t>Specialist Registrar</t>
  </si>
  <si>
    <t>House Officer - Pre Registration</t>
  </si>
  <si>
    <t>Paramedic Consultant</t>
  </si>
  <si>
    <t>Social Worker</t>
  </si>
  <si>
    <t>Art Therapist Consultant</t>
  </si>
  <si>
    <t>Chiropodist/Podiatrist Specialist Practitioner</t>
  </si>
  <si>
    <t>Occupational Therapist</t>
  </si>
  <si>
    <t>Healthcare Scientist</t>
  </si>
  <si>
    <t>Midwife</t>
  </si>
  <si>
    <t>Ward Clerk</t>
  </si>
  <si>
    <t>Optometrist</t>
  </si>
  <si>
    <t>Audiologist</t>
  </si>
  <si>
    <t>Other Community Health Service - Social Care Worker</t>
  </si>
  <si>
    <t>Director of Nursing</t>
  </si>
  <si>
    <t>Audit Manager</t>
  </si>
  <si>
    <t>Radiographer - Diagnostic, Manager</t>
  </si>
  <si>
    <t>Multi Therapist</t>
  </si>
  <si>
    <t>Trust Grade Doctor - SHO level</t>
  </si>
  <si>
    <t>Radiographer - Diagnostic, Specialist Practitioner</t>
  </si>
  <si>
    <t>Student Community Practitioner</t>
  </si>
  <si>
    <t>Chiropodist/Podiatrist Consultant</t>
  </si>
  <si>
    <t>Ward Manager</t>
  </si>
  <si>
    <t>Gateway Worker</t>
  </si>
  <si>
    <t>Healthcare Cadet</t>
  </si>
  <si>
    <t>Technician - Healthcare Scientists</t>
  </si>
  <si>
    <t>Clinical Medical Officer</t>
  </si>
  <si>
    <t>Dietitian Specialist Practitioner</t>
  </si>
  <si>
    <t>Nursery Nurse</t>
  </si>
  <si>
    <t>Dietitian Consultant</t>
  </si>
  <si>
    <t>Orthoptist Manager</t>
  </si>
  <si>
    <t>Chiropodist/Podiatrist Manager</t>
  </si>
  <si>
    <t>Radiographer - Diagnostic</t>
  </si>
  <si>
    <t>Social Care Support Worker</t>
  </si>
  <si>
    <t>Biomedical Scientist</t>
  </si>
  <si>
    <t>Student Physiotherapist</t>
  </si>
  <si>
    <t>Technician - Additional Clinical Services</t>
  </si>
  <si>
    <t>Waiting List Clerk</t>
  </si>
  <si>
    <t>Asst. Clinical Medical Officer</t>
  </si>
  <si>
    <t>Pre-reg Pharmacist</t>
  </si>
  <si>
    <t>Social work assistant (mental health)</t>
  </si>
  <si>
    <t>Dietitian Manager</t>
  </si>
  <si>
    <t>Healthcare Science Assistant</t>
  </si>
  <si>
    <t>Midwife - Sister/Charge Nurse</t>
  </si>
  <si>
    <t>Student District Nurse</t>
  </si>
  <si>
    <t>Medical Director</t>
  </si>
  <si>
    <t>Multi Therapist Specialist Practitioner</t>
  </si>
  <si>
    <t>Student Technician</t>
  </si>
  <si>
    <t>specialty_concept_id</t>
  </si>
  <si>
    <t>concept_name</t>
  </si>
  <si>
    <t>General Practice</t>
  </si>
  <si>
    <t>Community Health Nurse Practitioner</t>
  </si>
  <si>
    <t>Other Technician</t>
  </si>
  <si>
    <t>Registered Record Administrator</t>
  </si>
  <si>
    <t>Case Manager / Care Coordinator</t>
  </si>
  <si>
    <t>Medical Physician Assistant</t>
  </si>
  <si>
    <t>No matching concept</t>
  </si>
  <si>
    <t>Uncategorised</t>
  </si>
  <si>
    <t>Registered Community Health Nurse</t>
  </si>
  <si>
    <t>Community Health Worker</t>
  </si>
  <si>
    <t>Clinical Nurse Specialist</t>
  </si>
  <si>
    <t>Registered Nurse</t>
  </si>
  <si>
    <t>Health Information Technician</t>
  </si>
  <si>
    <t>Registered General Practice Nurse</t>
  </si>
  <si>
    <t>Pharmacy Technician</t>
  </si>
  <si>
    <t>Nurse Practitioner</t>
  </si>
  <si>
    <t>Physician Office Based Coding Specialist</t>
  </si>
  <si>
    <t>Specialist</t>
  </si>
  <si>
    <t>Surgical Physician Assistant</t>
  </si>
  <si>
    <t>Physical Hand Therapist</t>
  </si>
  <si>
    <t>Podiatrist</t>
  </si>
  <si>
    <t>Student</t>
  </si>
  <si>
    <t>Professional Behavioral Health Counselor</t>
  </si>
  <si>
    <t>Registered Dietitian</t>
  </si>
  <si>
    <t>Community Psych / Mental Health Nurse</t>
  </si>
  <si>
    <t>Marriage and Family Therapist</t>
  </si>
  <si>
    <t>Radiography Technologist</t>
  </si>
  <si>
    <t>Behavioral Health &amp; Social Service Providers, Psychologist, Clinical</t>
  </si>
  <si>
    <t>Registered School Nurse</t>
  </si>
  <si>
    <t>Mental Health Counselor</t>
  </si>
  <si>
    <t>Mental Retardation and Developmental Disability Psychologist</t>
  </si>
  <si>
    <t>unit_cost_source</t>
  </si>
  <si>
    <t>unit_cost_omop</t>
  </si>
  <si>
    <t>same as source</t>
  </si>
  <si>
    <t>Mean of corresponding source specialties</t>
  </si>
  <si>
    <t>Support, Time, Recovery Worker</t>
  </si>
  <si>
    <t>I derived a list of specialties for each datasets for the visits in the study period</t>
  </si>
  <si>
    <t>Code used for extraction (Source-cprd)</t>
  </si>
  <si>
    <t>Code used for extraction (OMOP)</t>
  </si>
  <si>
    <t>validation_staff &lt;- my_dm$`validation_staff` %&gt;% collect()</t>
  </si>
  <si>
    <t xml:space="preserve">visit_data_study_period &lt;- cdm$visit_detail %&gt;% </t>
  </si>
  <si>
    <t xml:space="preserve">validation_consultation &lt;- my_dm$`validation_consultation` %&gt;% collect() %&gt;% </t>
  </si>
  <si>
    <t xml:space="preserve">  # Filter for only primary care visits</t>
  </si>
  <si>
    <t xml:space="preserve">  # Filter such that we have the visits between the study start and study end dates</t>
  </si>
  <si>
    <t xml:space="preserve">  dplyr::filter(visit_detail_concept_id == 581477) %&gt;% </t>
  </si>
  <si>
    <t xml:space="preserve">  filter(consdate &gt;= study_start_date &amp; consdate &lt;= study_end_date)</t>
  </si>
  <si>
    <t xml:space="preserve">  dplyr::inner_join(cdm$provider) %&gt;% </t>
  </si>
  <si>
    <t xml:space="preserve">  dplyr::filter(visit_detail_start_date &gt;= study_start_date &amp; # include only visits in the study period</t>
  </si>
  <si>
    <t xml:space="preserve">                visit_detail_start_date &lt;= study_end_date) %&gt;% compute()</t>
  </si>
  <si>
    <t>visit_data_study_period &lt;- inner_join (validation_consultation, validation_staff ,</t>
  </si>
  <si>
    <t xml:space="preserve">                                       by = "staffid")</t>
  </si>
  <si>
    <t>specialty_freq &lt;- visit_data_study_period %&gt;%</t>
  </si>
  <si>
    <t xml:space="preserve">  group_by(specialty_concept_id) %&gt;%</t>
  </si>
  <si>
    <t xml:space="preserve">  count(description) %&gt;%</t>
  </si>
  <si>
    <t xml:space="preserve">  summarise(n = n()) %&gt;%</t>
  </si>
  <si>
    <t xml:space="preserve">  mutate(</t>
  </si>
  <si>
    <t xml:space="preserve">  mutate(percent = round(100 * n / sum(n), 1)) %&gt;%</t>
  </si>
  <si>
    <t xml:space="preserve">    percent = round(100 * n / sum(n), 1)</t>
  </si>
  <si>
    <t xml:space="preserve">  left_join(cdm$concept, by = c("specialty_concept_id" = "concept_id")) %&gt;%</t>
  </si>
  <si>
    <t xml:space="preserve">  ) %&gt;%</t>
  </si>
  <si>
    <t xml:space="preserve">  select(specialty_concept_id, concept_name, n, percent) %&gt;%</t>
  </si>
  <si>
    <t xml:space="preserve">  arrange(desc(n))</t>
  </si>
  <si>
    <t xml:space="preserve">  arrange(desc(n)) %&gt;%</t>
  </si>
  <si>
    <t xml:space="preserve">  collect()</t>
  </si>
  <si>
    <t>library(rio)</t>
  </si>
  <si>
    <t>export(specialty_freq, "specialty_frequency_whole_cprd_source_study_period.xlsx")</t>
  </si>
  <si>
    <t>Assumptions</t>
  </si>
  <si>
    <r>
      <t xml:space="preserve">Costing was performed using the specialty categories from the source CPRD data, with unit values listed in the </t>
    </r>
    <r>
      <rPr>
        <sz val="10"/>
        <color theme="1"/>
        <rFont val="Arial Unicode MS"/>
      </rPr>
      <t>source_cprd</t>
    </r>
    <r>
      <rPr>
        <sz val="11"/>
        <color theme="1"/>
        <rFont val="Calibri"/>
        <family val="2"/>
        <scheme val="minor"/>
      </rPr>
      <t xml:space="preserve"> sheet.</t>
    </r>
  </si>
  <si>
    <r>
      <t xml:space="preserve">OMOP </t>
    </r>
    <r>
      <rPr>
        <sz val="10"/>
        <color theme="1"/>
        <rFont val="Arial Unicode MS"/>
      </rPr>
      <t>specialty_concept_ids</t>
    </r>
    <r>
      <rPr>
        <sz val="11"/>
        <color theme="1"/>
        <rFont val="Calibri"/>
        <family val="2"/>
        <scheme val="minor"/>
      </rPr>
      <t xml:space="preserve"> were assigned costs based on their corresponding CPRD specialties.</t>
    </r>
  </si>
  <si>
    <t>When multiple CPRD specialties mapped to the same concept ID, an average cost was used.</t>
  </si>
  <si>
    <t>For source specialties that could not be mapped to a concept ID (i.e., unmatched), an average of all CPRD specialty costs was applied.</t>
  </si>
  <si>
    <t>In the master sheet there are values for source and omop side to side</t>
  </si>
  <si>
    <t>Note</t>
  </si>
  <si>
    <t>Admin</t>
  </si>
  <si>
    <t>Social</t>
  </si>
  <si>
    <t>Non-registered other</t>
  </si>
  <si>
    <t>Dental</t>
  </si>
  <si>
    <t>AHP</t>
  </si>
  <si>
    <t>Service</t>
  </si>
  <si>
    <t>PSSRU cost</t>
  </si>
  <si>
    <t>Unit type</t>
  </si>
  <si>
    <t>Band (source/assumption)</t>
  </si>
  <si>
    <t>Expected mean duration consultation by Lindsey</t>
  </si>
  <si>
    <t>per minute</t>
  </si>
  <si>
    <t>Table 9.4.2 “Unit costs for a GP” – Cost per minute of patient contact (without qualification)</t>
  </si>
  <si>
    <t>hourly</t>
  </si>
  <si>
    <t>Table 8.2.1 “Annual and unit costs for community-based scientific &amp; professional staff” – Cost per working hour (without qualification)</t>
  </si>
  <si>
    <t>Table 8.1 “Agenda for Change bands for scientific &amp; professional staff” – assumed Band 4 Assistant practitioner</t>
  </si>
  <si>
    <t>Table 8.1 “Agenda for Change bands for scientific &amp; professional staff” – assumed Band 4 Assistant Practitioner</t>
  </si>
  <si>
    <t>Table 9.2.1 “Annual and unit costs for qualified nurses” – Cost per working hour (without qualification)</t>
  </si>
  <si>
    <t>Band 4 from Table 11.2.1 – mapped title</t>
  </si>
  <si>
    <t>Band 4 from Table 11.2.1 “Agenda for Change (AfC) bands for hospital-based nurses” – mapped title</t>
  </si>
  <si>
    <t>Table 12.3.6 “Agenda for Change Bands for Pharmacists” – Band 4 Pharmacy technician</t>
  </si>
  <si>
    <t>Table 8.1 “Agenda for Change bands for scientific &amp; professional staff” – assumed Band 4 System Worker</t>
  </si>
  <si>
    <t>Table 8.1 “Agenda for Change bands for scientific &amp; professional staff” – assumed Band 4 Healthcare science technician</t>
  </si>
  <si>
    <t>Table 8.1 “Agenda for Change bands for scientific &amp; professional staff” – assumed Band 4 Trainee practitioner</t>
  </si>
  <si>
    <t>Table 8.1 “Agenda for Change bands for scientific &amp; professional staff” – assumed Band 5 Audiologist</t>
  </si>
  <si>
    <t>Table 8.1 “Agenda for Change bands for scientific &amp; professional staff” – assumed Band 5 Biomedical Scientist</t>
  </si>
  <si>
    <t>Table 12.3.4 “Agenda for Change Bands for Chiropodists/Podiatrists” – Band 5 Podiatrist</t>
  </si>
  <si>
    <t>Table 12.3.5 “Agenda for Change Bands for Psychologists” – Band 5 Counsellor (entry level)</t>
  </si>
  <si>
    <t>Table 8.1 “Agenda for Change bands for scientific &amp; professional staff” – assumed Band 5 Dietitian</t>
  </si>
  <si>
    <t>Table 8.1 “Agenda for Change bands for scientific &amp; professional staff” – assumed Band 5 Healthcare Scientist</t>
  </si>
  <si>
    <t>Table 8.1 “Agenda for Change bands for scientific &amp; professional staff” – assumed Band 5 Medical Technical Officer</t>
  </si>
  <si>
    <t>Table 12.3.2 “Agenda for Change Bands for Occupational Therapists” – Band 5 Occupational Therapist</t>
  </si>
  <si>
    <t>Table 8.1 “Agenda for Change bands for scientific &amp; professional staff” – assumed Band 5 Osteopath</t>
  </si>
  <si>
    <t>Table 8.1 “Agenda for Change bands for scientific &amp; professional staff” – assumed Band 5 Paramedic (treated as AHP)</t>
  </si>
  <si>
    <t>Table 12.3.1 “Agenda for Change Bands for Physiotherapists” – Band 5 Physiotherapist</t>
  </si>
  <si>
    <t>Table 8.1 “Agenda for Change bands for scientific &amp; professional staff” – assumed Band 5 Radiographer</t>
  </si>
  <si>
    <t>Table 8.1 “Agenda for Change bands for scientific &amp; professional staff” – assumed Band 5 Radiographer (diagnostic)</t>
  </si>
  <si>
    <t>Table 8.1 “Agenda for Change bands for scientific &amp; professional staff” – assumed Band 5 Researcher</t>
  </si>
  <si>
    <t>Assumed Band 5 from Table 11.2.1 – “Nurse”</t>
  </si>
  <si>
    <t>Band 5 from Table 11.2.1 “Agenda for Change (AfC) bands for hospital-based nurses” – mapped title</t>
  </si>
  <si>
    <t>Table 10.1.1 “Costs and unit estimations for a social worker (adult services)” – Cost per working hour (without qualification)</t>
  </si>
  <si>
    <t>Assumed match to Social worker (adult services)</t>
  </si>
  <si>
    <t>Assumed social worker cost</t>
  </si>
  <si>
    <t>Table 12.3.4 “Agenda for Change Bands for Chiropodists/Podiatrists” – Band 6 Podiatrist specialist</t>
  </si>
  <si>
    <t>Table 8.1 “Agenda for Change bands for scientific &amp; professional staff” – assumed Band 6 Dietitian specialist</t>
  </si>
  <si>
    <t>Table 8.1 “Agenda for Change bands for scientific &amp; professional staff” – assumed Band 6 Optometrist</t>
  </si>
  <si>
    <t>Table 8.1 “Agenda for Change bands for scientific &amp; professional staff” – assumed Band 6 Paramedic specialist</t>
  </si>
  <si>
    <t>Table 12.3.6 “Agenda for Change Bands for Pharmacists” – Band 6 Pharmacist</t>
  </si>
  <si>
    <t>Table 8.1 “Agenda for Change bands for scientific &amp; professional staff” – assumed Band 6 Radiographer specialist (diagnostic)</t>
  </si>
  <si>
    <t>Table 8.1 “Agenda for Change bands for scientific &amp; professional staff” – assumed Band 6 Therapist</t>
  </si>
  <si>
    <t>Band 6 from Table 11.2.1 “Agenda for Change (AfC) bands for hospital-based nurses” – mapped title</t>
  </si>
  <si>
    <t>Band 6 from Table 11.2.1 – mapped title</t>
  </si>
  <si>
    <t>Table 8.1 “Agenda for Change bands for scientific &amp; professional staff” – assumed Band 7 Arts Therapist</t>
  </si>
  <si>
    <t>Table 12.3.5 “Agenda for Change Bands for Psychologists” – Band 7 Clinical Psychologist</t>
  </si>
  <si>
    <t>Table 8.1 “Agenda for Change bands for scientific &amp; professional staff” – assumed Band 7 Dietitian (assumed senior)</t>
  </si>
  <si>
    <t>Table 8.1 “Agenda for Change bands for scientific &amp; professional staff” – assumed Band 7 Gateway Worker</t>
  </si>
  <si>
    <t>Table 8.1 “Agenda for Change bands for scientific &amp; professional staff” – assumed Band 7 Intermediate Care staff</t>
  </si>
  <si>
    <t>Table 8.1 “Agenda for Change bands for scientific &amp; professional staff” – assumed Band 7 Senior therapist (multi)</t>
  </si>
  <si>
    <t>Table 12.3.1 “Agenda for Change Bands for Physiotherapists” – Band 7 Specialist physiotherapist</t>
  </si>
  <si>
    <t>Table 8.1 “Agenda for Change bands for scientific &amp; professional staff” – assumed Band 7 Psychotherapist</t>
  </si>
  <si>
    <t>Table 8.1 “Agenda for Change bands for scientific &amp; professional staff” – assumed Band 7 Radiographer manager (diagnostic)</t>
  </si>
  <si>
    <t>Band 7 from Table 11.2.1 “Agenda for Change (AfC) bands for hospital-based nurses” – mapped title</t>
  </si>
  <si>
    <t>Table 8.1 “Agenda for Change bands for scientific &amp; professional staff” – assumed Band 8a Arts Therapist principal</t>
  </si>
  <si>
    <t>Table 12.3.4 “Agenda for Change Bands for Chiropodists/Podiatrists” – Band 8a Podiatrist principal</t>
  </si>
  <si>
    <t>Table 8.1 “Agenda for Change bands for scientific &amp; professional staff” – assumed Band 8a Dietitian principal</t>
  </si>
  <si>
    <t>Band 8a from Table 11.2.1 “Agenda for Change (AfC) bands for hospital-based nurses” – mapped title</t>
  </si>
  <si>
    <t>Table 8.1 “Agenda for Change bands for scientific &amp; professional staff” – assumed Band 8a Therapy principal (multi)</t>
  </si>
  <si>
    <t>Table 8.1 “Agenda for Change bands for scientific &amp; professional staff” – assumed Band 8a Orthoptist principal</t>
  </si>
  <si>
    <t>Table 8.1 “Agenda for Change bands for scientific &amp; professional staff” – assumed Band 8a Paramedic principal/consultant</t>
  </si>
  <si>
    <t>Table 12.3.1 “Agenda for Change Bands for Physiotherapists” – Band 8a Physiotherapist principal</t>
  </si>
  <si>
    <t>Band 8c from Table 11.2.1 “Agenda for Change (AfC) bands for hospital-based nurses” – mapped title</t>
  </si>
  <si>
    <t>Table 8.1 “Agenda for Change bands for scientific &amp; professional staff” – assumed Band 8c Arts therapies consultant</t>
  </si>
  <si>
    <t>Table 8.1 “Agenda for Change bands for scientific &amp; professional staff” – assumed Band 8c Head of arts therapies</t>
  </si>
  <si>
    <t>Table 12.3.4 “Agenda for Change Bands for Chiropodists/Podiatrists” – Band 8c Podiatric consultant</t>
  </si>
  <si>
    <t>Table 8.1 “Agenda for Change bands for scientific &amp; professional staff” – assumed Band 8c Paramedic Manager</t>
  </si>
  <si>
    <t>annual</t>
  </si>
  <si>
    <t>Table 12.2.1 “Mean annual basic pay per FTE for non‑medical occupational groupings” – Healthcare assistants and other support staff</t>
  </si>
  <si>
    <t>Table 12.2.1 “Mean annual basic pay per FTE for non‑medical occupational groupings” – Nursing, midwifery and health visiting learners</t>
  </si>
  <si>
    <t>Table 12.2.5 “Mean annual basic pay per FTE for NHS staff groups” – Admin &amp; Clerical</t>
  </si>
  <si>
    <t>Table 12.2.1 “Mean annual basic pay per FTE for non‑medical occupational groupings” – Administration and estates staff</t>
  </si>
  <si>
    <t>Table 12.2.1 “Mean annual basic pay per FTE for non‑medical occupational groupings” – Healthcare scientists</t>
  </si>
  <si>
    <t>Table 12.2.5 “Mean annual basic pay per FTE for NHS staff groups” – Managers</t>
  </si>
  <si>
    <t>Table 12.2.5 “Mean annual basic pay per FTE for NHS staff groups” – Senior managers</t>
  </si>
  <si>
    <t>category_source</t>
  </si>
  <si>
    <t>category_omop</t>
  </si>
  <si>
    <t>GF assigned category</t>
  </si>
  <si>
    <t>Mean of corresponding source specialties / Category OMOP assigned by GF</t>
  </si>
  <si>
    <t>Mean of corresponding source specialties / category OMOP assigned by GF</t>
  </si>
  <si>
    <t>Source in PSSRU</t>
  </si>
  <si>
    <t>unit_cost_encounter</t>
  </si>
  <si>
    <t>specialty_source_value</t>
  </si>
  <si>
    <t>concept_id_omop</t>
  </si>
  <si>
    <t>concept_name_omop</t>
  </si>
  <si>
    <t>GF assigned category and duration</t>
  </si>
  <si>
    <t>GF assigned duration</t>
  </si>
  <si>
    <t>description</t>
  </si>
  <si>
    <t>based on 52 weeks, 37.5hrs pw, annual leave (217.5, based on 29 days which corresponds to NHS employees with 5 to 10 years of service) and bank holidays (8 days) / GF assigned category and duration</t>
  </si>
  <si>
    <t>based on 52 weeks, 37.5hrs pw, annual leave (217.5, based on 29 days which corresponds to NHS employees with 5 to 10 years of service) and bank holidays (8 days) / GF assigned duration</t>
  </si>
  <si>
    <t>based on 52 weeks, 37.5hrs pw, annual leave (217.5, based on 29 days which corresponds to NHS employees with 5 to 10 years of service) and bank holidays (8 days)</t>
  </si>
  <si>
    <t>based on 52 weeks, 37.5hrs pw, annual leave (217.5, based on 29 days which corresponds to NHS employees with 5 to 10 years of service) and bank holidays (8 days) / GF assigned category</t>
  </si>
  <si>
    <t>GP</t>
  </si>
  <si>
    <t>Medic non-GP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</si>
</sst>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_-[$£-809]* #,##0.00_-;\-[$£-809]* #,##0.00_-;_-[$£-809]* &quot;-&quot;??_-;_-@_-"/>
    <numFmt numFmtId="165" formatCode="_-[$£-809]* #,##0_-;\-[$£-809]* #,##0_-;_-[$£-809]* &quot;-&quot;??_-;_-@_-"/>
    <numFmt numFmtId="166" formatCode="_-[$£-809]* #,##0.0_-;\-[$£-809]* #,##0.0_-;_-[$£-809]* &quot;-&quot;??_-;_-@_-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44" fontId="1" fillId="0" borderId="0" xfId="1" applyFont="1" applyAlignment="1">
      <alignment horizontal="center"/>
    </xf>
    <xf numFmtId="44" fontId="0" fillId="0" borderId="0" xfId="1" applyFon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4" fillId="0" borderId="0" xfId="0" applyFont="1"/>
    <xf numFmtId="164" fontId="1" fillId="3" borderId="0" xfId="0" applyNumberFormat="1" applyFont="1" applyFill="1" applyAlignment="1">
      <alignment horizontal="center"/>
    </xf>
    <xf numFmtId="164" fontId="0" fillId="3" borderId="0" xfId="0" applyNumberFormat="1" applyFill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1" fillId="4" borderId="2" xfId="0" applyNumberFormat="1" applyFont="1" applyFill="1" applyBorder="1" applyAlignment="1">
      <alignment horizontal="center" vertical="top"/>
    </xf>
    <xf numFmtId="164" fontId="0" fillId="4" borderId="0" xfId="0" applyNumberFormat="1" applyFill="1"/>
    <xf numFmtId="164" fontId="1" fillId="4" borderId="0" xfId="0" applyNumberFormat="1" applyFont="1" applyFill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6" fillId="0" borderId="0" xfId="0" applyFont="1"/>
    <xf numFmtId="166" fontId="0" fillId="0" borderId="0" xfId="0" applyNumberFormat="1"/>
  </cellXfs>
  <cellStyles count="2">
    <cellStyle name="Currency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zoomScale="110" zoomScaleNormal="110" workbookViewId="0">
      <pane ySplit="1" topLeftCell="A2" activePane="bottomLeft" state="frozen"/>
      <selection pane="bottomLeft" activeCell="F107" sqref="F107"/>
    </sheetView>
  </sheetViews>
  <sheetFormatPr defaultColWidth="23.5703125" defaultRowHeight="15"/>
  <cols>
    <col min="1" max="1" width="30.42578125" customWidth="1"/>
    <col min="2" max="2" width="23.5703125" style="17"/>
    <col min="5" max="5" width="55" customWidth="1"/>
    <col min="6" max="6" width="13.42578125" customWidth="1"/>
    <col min="8" max="8" width="23.5703125" style="14"/>
  </cols>
  <sheetData>
    <row r="1" spans="1:9">
      <c r="A1" s="11" t="s">
        <v>327</v>
      </c>
      <c r="B1" s="16" t="s">
        <v>239</v>
      </c>
      <c r="C1" s="11" t="s">
        <v>240</v>
      </c>
      <c r="D1" s="11" t="s">
        <v>320</v>
      </c>
      <c r="E1" s="11" t="s">
        <v>241</v>
      </c>
      <c r="F1" s="12" t="s">
        <v>1</v>
      </c>
      <c r="G1" s="12" t="s">
        <v>242</v>
      </c>
      <c r="H1" s="13" t="s">
        <v>321</v>
      </c>
      <c r="I1" s="12" t="s">
        <v>0</v>
      </c>
    </row>
    <row r="2" spans="1:9">
      <c r="A2" t="s">
        <v>148</v>
      </c>
      <c r="B2" s="17">
        <v>3.7</v>
      </c>
      <c r="C2" t="s">
        <v>243</v>
      </c>
      <c r="D2" t="s">
        <v>244</v>
      </c>
      <c r="F2" t="s">
        <v>333</v>
      </c>
      <c r="G2">
        <v>15</v>
      </c>
      <c r="H2" s="14">
        <f>G2*B2</f>
        <v>55.5</v>
      </c>
      <c r="I2" t="s">
        <v>317</v>
      </c>
    </row>
    <row r="3" spans="1:9">
      <c r="A3" t="s">
        <v>86</v>
      </c>
      <c r="B3" s="17">
        <v>3.7</v>
      </c>
      <c r="C3" t="s">
        <v>243</v>
      </c>
      <c r="D3" t="s">
        <v>244</v>
      </c>
      <c r="F3" t="s">
        <v>333</v>
      </c>
      <c r="G3">
        <v>15</v>
      </c>
      <c r="H3" s="14">
        <f>G3*B3</f>
        <v>55.5</v>
      </c>
      <c r="I3" t="s">
        <v>317</v>
      </c>
    </row>
    <row r="4" spans="1:9">
      <c r="A4" t="s">
        <v>49</v>
      </c>
      <c r="B4" s="17">
        <v>3.7</v>
      </c>
      <c r="C4" t="s">
        <v>243</v>
      </c>
      <c r="D4" t="s">
        <v>244</v>
      </c>
      <c r="F4" t="s">
        <v>333</v>
      </c>
      <c r="G4">
        <v>15</v>
      </c>
      <c r="H4" s="14">
        <f>G4*B4</f>
        <v>55.5</v>
      </c>
      <c r="I4" t="s">
        <v>317</v>
      </c>
    </row>
    <row r="5" spans="1:9">
      <c r="A5" t="s">
        <v>37</v>
      </c>
      <c r="B5" s="17">
        <v>39</v>
      </c>
      <c r="C5" t="s">
        <v>245</v>
      </c>
      <c r="D5" t="s">
        <v>246</v>
      </c>
      <c r="E5" t="s">
        <v>253</v>
      </c>
      <c r="F5" t="s">
        <v>235</v>
      </c>
      <c r="G5">
        <v>5</v>
      </c>
      <c r="H5" s="14">
        <f>(B5/60)*G5</f>
        <v>3.25</v>
      </c>
      <c r="I5" t="s">
        <v>325</v>
      </c>
    </row>
    <row r="6" spans="1:9">
      <c r="A6" t="s">
        <v>156</v>
      </c>
      <c r="B6" s="17">
        <v>77</v>
      </c>
      <c r="C6" t="s">
        <v>245</v>
      </c>
      <c r="D6" t="s">
        <v>246</v>
      </c>
      <c r="E6" t="s">
        <v>298</v>
      </c>
      <c r="F6" t="s">
        <v>237</v>
      </c>
      <c r="G6">
        <v>15</v>
      </c>
      <c r="H6" s="14">
        <f>(B6/60)*G6</f>
        <v>19.25</v>
      </c>
      <c r="I6" t="s">
        <v>317</v>
      </c>
    </row>
    <row r="7" spans="1:9">
      <c r="A7" t="s">
        <v>67</v>
      </c>
      <c r="B7" s="17">
        <v>30238</v>
      </c>
      <c r="C7" t="s">
        <v>307</v>
      </c>
      <c r="D7" t="s">
        <v>310</v>
      </c>
      <c r="F7" t="s">
        <v>235</v>
      </c>
      <c r="G7">
        <v>5</v>
      </c>
      <c r="H7" s="14">
        <f>(B7/((52*37.5)-217.5-60)/60)*G7</f>
        <v>1.5066268061783759</v>
      </c>
      <c r="I7" t="s">
        <v>328</v>
      </c>
    </row>
    <row r="8" spans="1:9">
      <c r="A8" t="s">
        <v>101</v>
      </c>
      <c r="B8" s="17">
        <v>30238</v>
      </c>
      <c r="C8" t="s">
        <v>307</v>
      </c>
      <c r="D8" t="s">
        <v>310</v>
      </c>
      <c r="F8" t="s">
        <v>235</v>
      </c>
      <c r="G8">
        <v>15</v>
      </c>
      <c r="H8" s="14">
        <f t="shared" ref="H8:H9" si="0">(B8/((52*37.5)-217.5-60)/60)*G8</f>
        <v>4.5198804185351271</v>
      </c>
      <c r="I8" t="s">
        <v>328</v>
      </c>
    </row>
    <row r="9" spans="1:9">
      <c r="A9" t="s">
        <v>55</v>
      </c>
      <c r="B9" s="17">
        <v>90859</v>
      </c>
      <c r="C9" t="s">
        <v>307</v>
      </c>
      <c r="D9" t="s">
        <v>314</v>
      </c>
      <c r="F9" t="s">
        <v>333</v>
      </c>
      <c r="G9">
        <v>5</v>
      </c>
      <c r="H9" s="14">
        <f t="shared" si="0"/>
        <v>4.5271051320378675</v>
      </c>
      <c r="I9" t="s">
        <v>328</v>
      </c>
    </row>
    <row r="10" spans="1:9">
      <c r="A10" t="s">
        <v>132</v>
      </c>
      <c r="B10" s="17">
        <v>69</v>
      </c>
      <c r="C10" t="s">
        <v>245</v>
      </c>
      <c r="D10" t="s">
        <v>249</v>
      </c>
      <c r="E10" t="s">
        <v>293</v>
      </c>
      <c r="F10" t="s">
        <v>233</v>
      </c>
      <c r="G10">
        <v>10</v>
      </c>
      <c r="H10" s="14">
        <f>(B10/60)*G10</f>
        <v>11.5</v>
      </c>
      <c r="I10" t="s">
        <v>317</v>
      </c>
    </row>
    <row r="11" spans="1:9">
      <c r="A11" t="s">
        <v>77</v>
      </c>
      <c r="B11" s="17">
        <v>30238</v>
      </c>
      <c r="C11" t="s">
        <v>307</v>
      </c>
      <c r="D11" t="s">
        <v>310</v>
      </c>
      <c r="F11" t="s">
        <v>233</v>
      </c>
      <c r="G11">
        <v>5</v>
      </c>
      <c r="H11" s="14">
        <f t="shared" ref="H11:H48" si="1">(B11/((52*37.5)-217.5-60)/60)*G11</f>
        <v>1.5066268061783759</v>
      </c>
      <c r="I11" t="s">
        <v>329</v>
      </c>
    </row>
    <row r="12" spans="1:9">
      <c r="A12" t="s">
        <v>35</v>
      </c>
      <c r="B12" s="17">
        <v>30238</v>
      </c>
      <c r="C12" t="s">
        <v>307</v>
      </c>
      <c r="D12" t="s">
        <v>310</v>
      </c>
      <c r="F12" t="s">
        <v>233</v>
      </c>
      <c r="G12">
        <v>1</v>
      </c>
      <c r="H12" s="14">
        <f t="shared" si="1"/>
        <v>0.30132536123567516</v>
      </c>
      <c r="I12" t="s">
        <v>330</v>
      </c>
    </row>
    <row r="13" spans="1:9">
      <c r="A13" t="s">
        <v>81</v>
      </c>
      <c r="B13" s="17">
        <v>30238</v>
      </c>
      <c r="C13" t="s">
        <v>307</v>
      </c>
      <c r="D13" t="s">
        <v>310</v>
      </c>
      <c r="F13" t="s">
        <v>233</v>
      </c>
      <c r="G13">
        <v>1</v>
      </c>
      <c r="H13" s="14">
        <f t="shared" si="1"/>
        <v>0.30132536123567516</v>
      </c>
      <c r="I13" t="s">
        <v>330</v>
      </c>
    </row>
    <row r="14" spans="1:9">
      <c r="A14" t="s">
        <v>99</v>
      </c>
      <c r="B14" s="17">
        <v>30238</v>
      </c>
      <c r="C14" t="s">
        <v>307</v>
      </c>
      <c r="D14" t="s">
        <v>310</v>
      </c>
      <c r="F14" t="s">
        <v>233</v>
      </c>
      <c r="G14">
        <v>2</v>
      </c>
      <c r="H14" s="14">
        <f t="shared" si="1"/>
        <v>0.60265072247135032</v>
      </c>
      <c r="I14" t="s">
        <v>330</v>
      </c>
    </row>
    <row r="15" spans="1:9">
      <c r="A15" t="s">
        <v>8</v>
      </c>
      <c r="B15" s="17">
        <v>30238</v>
      </c>
      <c r="C15" t="s">
        <v>307</v>
      </c>
      <c r="D15" t="s">
        <v>310</v>
      </c>
      <c r="F15" t="s">
        <v>233</v>
      </c>
      <c r="G15">
        <v>5</v>
      </c>
      <c r="H15" s="14">
        <f t="shared" si="1"/>
        <v>1.5066268061783759</v>
      </c>
      <c r="I15" t="s">
        <v>330</v>
      </c>
    </row>
    <row r="16" spans="1:9">
      <c r="A16" t="s">
        <v>46</v>
      </c>
      <c r="B16" s="17">
        <v>30238</v>
      </c>
      <c r="C16" t="s">
        <v>307</v>
      </c>
      <c r="D16" t="s">
        <v>310</v>
      </c>
      <c r="F16" t="s">
        <v>233</v>
      </c>
      <c r="G16">
        <v>1</v>
      </c>
      <c r="H16" s="14">
        <f t="shared" si="1"/>
        <v>0.30132536123567516</v>
      </c>
      <c r="I16" t="s">
        <v>330</v>
      </c>
    </row>
    <row r="17" spans="1:9">
      <c r="A17" t="s">
        <v>28</v>
      </c>
      <c r="B17" s="17">
        <v>30238</v>
      </c>
      <c r="C17" t="s">
        <v>307</v>
      </c>
      <c r="D17" t="s">
        <v>310</v>
      </c>
      <c r="F17" t="s">
        <v>233</v>
      </c>
      <c r="G17">
        <v>1</v>
      </c>
      <c r="H17" s="14">
        <f t="shared" si="1"/>
        <v>0.30132536123567516</v>
      </c>
      <c r="I17" t="s">
        <v>330</v>
      </c>
    </row>
    <row r="18" spans="1:9">
      <c r="A18" t="s">
        <v>12</v>
      </c>
      <c r="B18" s="17">
        <v>30238</v>
      </c>
      <c r="C18" t="s">
        <v>307</v>
      </c>
      <c r="D18" t="s">
        <v>310</v>
      </c>
      <c r="F18" t="s">
        <v>233</v>
      </c>
      <c r="G18">
        <v>10</v>
      </c>
      <c r="H18" s="14">
        <f t="shared" si="1"/>
        <v>3.0132536123567517</v>
      </c>
      <c r="I18" t="s">
        <v>330</v>
      </c>
    </row>
    <row r="19" spans="1:9">
      <c r="A19" t="s">
        <v>14</v>
      </c>
      <c r="B19" s="17">
        <v>30238</v>
      </c>
      <c r="C19" t="s">
        <v>307</v>
      </c>
      <c r="D19" t="s">
        <v>310</v>
      </c>
      <c r="F19" t="s">
        <v>233</v>
      </c>
      <c r="G19">
        <v>1</v>
      </c>
      <c r="H19" s="14">
        <f t="shared" si="1"/>
        <v>0.30132536123567516</v>
      </c>
      <c r="I19" t="s">
        <v>330</v>
      </c>
    </row>
    <row r="20" spans="1:9">
      <c r="A20" t="s">
        <v>41</v>
      </c>
      <c r="B20" s="17">
        <v>30238</v>
      </c>
      <c r="C20" t="s">
        <v>307</v>
      </c>
      <c r="D20" t="s">
        <v>310</v>
      </c>
      <c r="F20" t="s">
        <v>233</v>
      </c>
      <c r="G20">
        <v>1</v>
      </c>
      <c r="H20" s="14">
        <f t="shared" si="1"/>
        <v>0.30132536123567516</v>
      </c>
      <c r="I20" t="s">
        <v>330</v>
      </c>
    </row>
    <row r="21" spans="1:9">
      <c r="A21" t="s">
        <v>48</v>
      </c>
      <c r="B21" s="17">
        <v>30238</v>
      </c>
      <c r="C21" t="s">
        <v>307</v>
      </c>
      <c r="D21" t="s">
        <v>310</v>
      </c>
      <c r="F21" t="s">
        <v>233</v>
      </c>
      <c r="G21">
        <v>10</v>
      </c>
      <c r="H21" s="14">
        <f t="shared" si="1"/>
        <v>3.0132536123567517</v>
      </c>
      <c r="I21" t="s">
        <v>330</v>
      </c>
    </row>
    <row r="22" spans="1:9">
      <c r="A22" t="s">
        <v>50</v>
      </c>
      <c r="B22" s="17">
        <v>30238</v>
      </c>
      <c r="C22" t="s">
        <v>307</v>
      </c>
      <c r="D22" t="s">
        <v>310</v>
      </c>
      <c r="F22" t="s">
        <v>233</v>
      </c>
      <c r="G22">
        <v>10</v>
      </c>
      <c r="H22" s="14">
        <f t="shared" si="1"/>
        <v>3.0132536123567517</v>
      </c>
      <c r="I22" t="s">
        <v>330</v>
      </c>
    </row>
    <row r="23" spans="1:9">
      <c r="A23" t="s">
        <v>38</v>
      </c>
      <c r="B23" s="17">
        <v>30238</v>
      </c>
      <c r="C23" t="s">
        <v>307</v>
      </c>
      <c r="D23" t="s">
        <v>310</v>
      </c>
      <c r="F23" t="s">
        <v>233</v>
      </c>
      <c r="G23">
        <v>1</v>
      </c>
      <c r="H23" s="14">
        <f t="shared" si="1"/>
        <v>0.30132536123567516</v>
      </c>
      <c r="I23" t="s">
        <v>330</v>
      </c>
    </row>
    <row r="24" spans="1:9">
      <c r="A24" t="s">
        <v>53</v>
      </c>
      <c r="B24" s="17">
        <v>30238</v>
      </c>
      <c r="C24" t="s">
        <v>307</v>
      </c>
      <c r="D24" t="s">
        <v>310</v>
      </c>
      <c r="F24" t="s">
        <v>233</v>
      </c>
      <c r="G24">
        <v>1</v>
      </c>
      <c r="H24" s="14">
        <f t="shared" si="1"/>
        <v>0.30132536123567516</v>
      </c>
      <c r="I24" t="s">
        <v>330</v>
      </c>
    </row>
    <row r="25" spans="1:9">
      <c r="A25" t="s">
        <v>56</v>
      </c>
      <c r="B25" s="17">
        <v>30238</v>
      </c>
      <c r="C25" t="s">
        <v>307</v>
      </c>
      <c r="D25" t="s">
        <v>310</v>
      </c>
      <c r="F25" t="s">
        <v>233</v>
      </c>
      <c r="G25">
        <v>1</v>
      </c>
      <c r="H25" s="14">
        <f t="shared" si="1"/>
        <v>0.30132536123567516</v>
      </c>
      <c r="I25" t="s">
        <v>330</v>
      </c>
    </row>
    <row r="26" spans="1:9">
      <c r="A26" t="s">
        <v>39</v>
      </c>
      <c r="B26" s="17">
        <v>30238</v>
      </c>
      <c r="C26" t="s">
        <v>307</v>
      </c>
      <c r="D26" t="s">
        <v>310</v>
      </c>
      <c r="F26" t="s">
        <v>233</v>
      </c>
      <c r="G26">
        <v>1</v>
      </c>
      <c r="H26" s="14">
        <f t="shared" si="1"/>
        <v>0.30132536123567516</v>
      </c>
      <c r="I26" t="s">
        <v>330</v>
      </c>
    </row>
    <row r="27" spans="1:9">
      <c r="A27" t="s">
        <v>64</v>
      </c>
      <c r="B27" s="17">
        <v>30238</v>
      </c>
      <c r="C27" t="s">
        <v>307</v>
      </c>
      <c r="D27" t="s">
        <v>310</v>
      </c>
      <c r="F27" t="s">
        <v>233</v>
      </c>
      <c r="G27">
        <v>1</v>
      </c>
      <c r="H27" s="14">
        <f t="shared" si="1"/>
        <v>0.30132536123567516</v>
      </c>
      <c r="I27" t="s">
        <v>330</v>
      </c>
    </row>
    <row r="28" spans="1:9">
      <c r="A28" t="s">
        <v>18</v>
      </c>
      <c r="B28" s="17">
        <v>30238</v>
      </c>
      <c r="C28" t="s">
        <v>307</v>
      </c>
      <c r="D28" t="s">
        <v>310</v>
      </c>
      <c r="F28" t="s">
        <v>233</v>
      </c>
      <c r="G28">
        <v>10</v>
      </c>
      <c r="H28" s="14">
        <f t="shared" si="1"/>
        <v>3.0132536123567517</v>
      </c>
      <c r="I28" t="s">
        <v>330</v>
      </c>
    </row>
    <row r="29" spans="1:9">
      <c r="A29" t="s">
        <v>45</v>
      </c>
      <c r="B29" s="17">
        <v>30238</v>
      </c>
      <c r="C29" t="s">
        <v>307</v>
      </c>
      <c r="D29" t="s">
        <v>310</v>
      </c>
      <c r="F29" t="s">
        <v>233</v>
      </c>
      <c r="G29">
        <v>1</v>
      </c>
      <c r="H29" s="14">
        <f t="shared" si="1"/>
        <v>0.30132536123567516</v>
      </c>
      <c r="I29" t="s">
        <v>330</v>
      </c>
    </row>
    <row r="30" spans="1:9">
      <c r="A30" t="s">
        <v>60</v>
      </c>
      <c r="B30" s="17">
        <v>30238</v>
      </c>
      <c r="C30" t="s">
        <v>307</v>
      </c>
      <c r="D30" t="s">
        <v>310</v>
      </c>
      <c r="F30" t="s">
        <v>233</v>
      </c>
      <c r="G30">
        <v>1</v>
      </c>
      <c r="H30" s="14">
        <f t="shared" si="1"/>
        <v>0.30132536123567516</v>
      </c>
      <c r="I30" t="s">
        <v>330</v>
      </c>
    </row>
    <row r="31" spans="1:9">
      <c r="A31" t="s">
        <v>42</v>
      </c>
      <c r="B31" s="17">
        <v>30238</v>
      </c>
      <c r="C31" t="s">
        <v>307</v>
      </c>
      <c r="D31" t="s">
        <v>310</v>
      </c>
      <c r="F31" t="s">
        <v>233</v>
      </c>
      <c r="G31">
        <v>1</v>
      </c>
      <c r="H31" s="14">
        <f t="shared" si="1"/>
        <v>0.30132536123567516</v>
      </c>
      <c r="I31" t="s">
        <v>330</v>
      </c>
    </row>
    <row r="32" spans="1:9">
      <c r="A32" t="s">
        <v>3</v>
      </c>
      <c r="B32" s="17">
        <v>30238</v>
      </c>
      <c r="C32" t="s">
        <v>307</v>
      </c>
      <c r="D32" t="s">
        <v>310</v>
      </c>
      <c r="F32" t="s">
        <v>233</v>
      </c>
      <c r="G32">
        <v>2</v>
      </c>
      <c r="H32" s="14">
        <f t="shared" si="1"/>
        <v>0.60265072247135032</v>
      </c>
      <c r="I32" t="s">
        <v>330</v>
      </c>
    </row>
    <row r="33" spans="1:9">
      <c r="A33" t="s">
        <v>19</v>
      </c>
      <c r="B33" s="17">
        <v>30238</v>
      </c>
      <c r="C33" t="s">
        <v>307</v>
      </c>
      <c r="D33" t="s">
        <v>310</v>
      </c>
      <c r="F33" t="s">
        <v>233</v>
      </c>
      <c r="G33">
        <v>10</v>
      </c>
      <c r="H33" s="14">
        <f t="shared" si="1"/>
        <v>3.0132536123567517</v>
      </c>
      <c r="I33" t="s">
        <v>330</v>
      </c>
    </row>
    <row r="34" spans="1:9">
      <c r="A34" t="s">
        <v>9</v>
      </c>
      <c r="B34" s="17">
        <v>30238</v>
      </c>
      <c r="C34" t="s">
        <v>307</v>
      </c>
      <c r="D34" t="s">
        <v>310</v>
      </c>
      <c r="F34" t="s">
        <v>233</v>
      </c>
      <c r="G34">
        <v>1</v>
      </c>
      <c r="H34" s="14">
        <f t="shared" si="1"/>
        <v>0.30132536123567516</v>
      </c>
      <c r="I34" t="s">
        <v>330</v>
      </c>
    </row>
    <row r="35" spans="1:9">
      <c r="A35" t="s">
        <v>36</v>
      </c>
      <c r="B35" s="17">
        <v>30238</v>
      </c>
      <c r="C35" t="s">
        <v>307</v>
      </c>
      <c r="D35" t="s">
        <v>310</v>
      </c>
      <c r="F35" t="s">
        <v>233</v>
      </c>
      <c r="G35">
        <v>1</v>
      </c>
      <c r="H35" s="14">
        <f t="shared" si="1"/>
        <v>0.30132536123567516</v>
      </c>
      <c r="I35" t="s">
        <v>330</v>
      </c>
    </row>
    <row r="36" spans="1:9">
      <c r="A36" t="s">
        <v>147</v>
      </c>
      <c r="B36" s="17">
        <v>30238</v>
      </c>
      <c r="C36" t="s">
        <v>307</v>
      </c>
      <c r="D36" t="s">
        <v>310</v>
      </c>
      <c r="F36" t="s">
        <v>233</v>
      </c>
      <c r="G36">
        <v>1</v>
      </c>
      <c r="H36" s="14">
        <f t="shared" si="1"/>
        <v>0.30132536123567516</v>
      </c>
      <c r="I36" t="s">
        <v>330</v>
      </c>
    </row>
    <row r="37" spans="1:9">
      <c r="A37" t="s">
        <v>93</v>
      </c>
      <c r="B37" s="17">
        <v>30238</v>
      </c>
      <c r="C37" t="s">
        <v>307</v>
      </c>
      <c r="D37" t="s">
        <v>310</v>
      </c>
      <c r="F37" t="s">
        <v>233</v>
      </c>
      <c r="G37">
        <v>1</v>
      </c>
      <c r="H37" s="14">
        <f t="shared" si="1"/>
        <v>0.30132536123567516</v>
      </c>
      <c r="I37" t="s">
        <v>330</v>
      </c>
    </row>
    <row r="38" spans="1:9">
      <c r="A38" t="s">
        <v>120</v>
      </c>
      <c r="B38" s="17">
        <v>30238</v>
      </c>
      <c r="C38" t="s">
        <v>307</v>
      </c>
      <c r="D38" t="s">
        <v>310</v>
      </c>
      <c r="F38" t="s">
        <v>233</v>
      </c>
      <c r="G38">
        <v>1</v>
      </c>
      <c r="H38" s="14">
        <f t="shared" si="1"/>
        <v>0.30132536123567516</v>
      </c>
      <c r="I38" t="s">
        <v>330</v>
      </c>
    </row>
    <row r="39" spans="1:9">
      <c r="A39" t="s">
        <v>195</v>
      </c>
      <c r="B39" s="17">
        <v>35631</v>
      </c>
      <c r="C39" t="s">
        <v>307</v>
      </c>
      <c r="D39" t="s">
        <v>311</v>
      </c>
      <c r="F39" t="s">
        <v>233</v>
      </c>
      <c r="G39">
        <v>1</v>
      </c>
      <c r="H39" s="14">
        <f t="shared" si="1"/>
        <v>0.35506726457399101</v>
      </c>
      <c r="I39" t="s">
        <v>330</v>
      </c>
    </row>
    <row r="40" spans="1:9">
      <c r="A40" t="s">
        <v>125</v>
      </c>
      <c r="B40" s="17">
        <v>62428</v>
      </c>
      <c r="C40" t="s">
        <v>307</v>
      </c>
      <c r="D40" t="s">
        <v>313</v>
      </c>
      <c r="F40" t="s">
        <v>233</v>
      </c>
      <c r="G40">
        <v>1</v>
      </c>
      <c r="H40" s="14">
        <f t="shared" si="1"/>
        <v>0.62210264075734933</v>
      </c>
      <c r="I40" t="s">
        <v>330</v>
      </c>
    </row>
    <row r="41" spans="1:9">
      <c r="A41" t="s">
        <v>98</v>
      </c>
      <c r="B41" s="17">
        <v>62428</v>
      </c>
      <c r="C41" t="s">
        <v>307</v>
      </c>
      <c r="D41" t="s">
        <v>313</v>
      </c>
      <c r="F41" t="s">
        <v>233</v>
      </c>
      <c r="G41">
        <v>15</v>
      </c>
      <c r="H41" s="14">
        <f t="shared" si="1"/>
        <v>9.33153961136024</v>
      </c>
      <c r="I41" t="s">
        <v>330</v>
      </c>
    </row>
    <row r="42" spans="1:9">
      <c r="A42" t="s">
        <v>104</v>
      </c>
      <c r="B42" s="17">
        <v>62428</v>
      </c>
      <c r="C42" t="s">
        <v>307</v>
      </c>
      <c r="D42" t="s">
        <v>313</v>
      </c>
      <c r="F42" t="s">
        <v>233</v>
      </c>
      <c r="G42">
        <v>15</v>
      </c>
      <c r="H42" s="14">
        <f t="shared" si="1"/>
        <v>9.33153961136024</v>
      </c>
      <c r="I42" t="s">
        <v>330</v>
      </c>
    </row>
    <row r="43" spans="1:9">
      <c r="A43" t="s">
        <v>4</v>
      </c>
      <c r="B43" s="17">
        <v>62428</v>
      </c>
      <c r="C43" t="s">
        <v>307</v>
      </c>
      <c r="D43" t="s">
        <v>313</v>
      </c>
      <c r="F43" t="s">
        <v>233</v>
      </c>
      <c r="G43">
        <v>10</v>
      </c>
      <c r="H43" s="14">
        <f t="shared" si="1"/>
        <v>6.2210264075734933</v>
      </c>
      <c r="I43" t="s">
        <v>330</v>
      </c>
    </row>
    <row r="44" spans="1:9">
      <c r="A44" t="s">
        <v>96</v>
      </c>
      <c r="B44" s="17">
        <v>62428</v>
      </c>
      <c r="C44" t="s">
        <v>307</v>
      </c>
      <c r="D44" t="s">
        <v>313</v>
      </c>
      <c r="F44" t="s">
        <v>233</v>
      </c>
      <c r="G44">
        <v>10</v>
      </c>
      <c r="H44" s="14">
        <f t="shared" si="1"/>
        <v>6.2210264075734933</v>
      </c>
      <c r="I44" t="s">
        <v>330</v>
      </c>
    </row>
    <row r="45" spans="1:9">
      <c r="A45" t="s">
        <v>132</v>
      </c>
      <c r="B45" s="17">
        <v>62428</v>
      </c>
      <c r="C45" t="s">
        <v>307</v>
      </c>
      <c r="D45" t="s">
        <v>313</v>
      </c>
      <c r="F45" t="s">
        <v>233</v>
      </c>
      <c r="G45">
        <v>10</v>
      </c>
      <c r="H45" s="14">
        <f t="shared" si="1"/>
        <v>6.2210264075734933</v>
      </c>
      <c r="I45" t="s">
        <v>330</v>
      </c>
    </row>
    <row r="46" spans="1:9">
      <c r="A46" t="s">
        <v>87</v>
      </c>
      <c r="B46" s="17">
        <v>90859</v>
      </c>
      <c r="C46" t="s">
        <v>307</v>
      </c>
      <c r="D46" t="s">
        <v>314</v>
      </c>
      <c r="F46" t="s">
        <v>233</v>
      </c>
      <c r="G46">
        <v>1</v>
      </c>
      <c r="H46" s="14">
        <f t="shared" si="1"/>
        <v>0.90542102640757349</v>
      </c>
      <c r="I46" t="s">
        <v>330</v>
      </c>
    </row>
    <row r="47" spans="1:9">
      <c r="A47" t="s">
        <v>15</v>
      </c>
      <c r="B47" s="17">
        <v>90859</v>
      </c>
      <c r="C47" t="s">
        <v>307</v>
      </c>
      <c r="D47" t="s">
        <v>314</v>
      </c>
      <c r="F47" t="s">
        <v>233</v>
      </c>
      <c r="G47">
        <v>10</v>
      </c>
      <c r="H47" s="14">
        <f t="shared" si="1"/>
        <v>9.0542102640757349</v>
      </c>
      <c r="I47" t="s">
        <v>330</v>
      </c>
    </row>
    <row r="48" spans="1:9">
      <c r="A48" t="s">
        <v>27</v>
      </c>
      <c r="B48" s="17">
        <v>90859</v>
      </c>
      <c r="C48" t="s">
        <v>307</v>
      </c>
      <c r="D48" t="s">
        <v>314</v>
      </c>
      <c r="F48" t="s">
        <v>233</v>
      </c>
      <c r="G48">
        <v>10</v>
      </c>
      <c r="H48" s="14">
        <f t="shared" si="1"/>
        <v>9.0542102640757349</v>
      </c>
      <c r="I48" t="s">
        <v>330</v>
      </c>
    </row>
    <row r="49" spans="1:8">
      <c r="A49" t="s">
        <v>84</v>
      </c>
      <c r="B49" s="19">
        <v>3.7</v>
      </c>
      <c r="C49" t="s">
        <v>243</v>
      </c>
      <c r="D49" t="s">
        <v>244</v>
      </c>
      <c r="F49" t="s">
        <v>237</v>
      </c>
      <c r="G49">
        <v>20</v>
      </c>
      <c r="H49" s="14">
        <f>G49*B49</f>
        <v>74</v>
      </c>
    </row>
    <row r="50" spans="1:8">
      <c r="A50" t="s">
        <v>135</v>
      </c>
      <c r="B50" s="17">
        <v>39</v>
      </c>
      <c r="C50" t="s">
        <v>245</v>
      </c>
      <c r="D50" t="s">
        <v>246</v>
      </c>
      <c r="E50" t="s">
        <v>254</v>
      </c>
      <c r="F50" t="s">
        <v>237</v>
      </c>
      <c r="G50">
        <v>10</v>
      </c>
      <c r="H50" s="14">
        <f t="shared" ref="H50:H82" si="2">(B50/60)*G50</f>
        <v>6.5</v>
      </c>
    </row>
    <row r="51" spans="1:8">
      <c r="A51" t="s">
        <v>122</v>
      </c>
      <c r="B51" s="17">
        <v>44</v>
      </c>
      <c r="C51" t="s">
        <v>245</v>
      </c>
      <c r="D51" t="s">
        <v>246</v>
      </c>
      <c r="E51" t="s">
        <v>256</v>
      </c>
      <c r="F51" t="s">
        <v>237</v>
      </c>
      <c r="G51">
        <v>20</v>
      </c>
      <c r="H51" s="14">
        <f t="shared" si="2"/>
        <v>14.666666666666666</v>
      </c>
    </row>
    <row r="52" spans="1:8">
      <c r="A52" t="s">
        <v>144</v>
      </c>
      <c r="B52" s="17">
        <v>44</v>
      </c>
      <c r="C52" t="s">
        <v>245</v>
      </c>
      <c r="D52" t="s">
        <v>246</v>
      </c>
      <c r="E52" t="s">
        <v>257</v>
      </c>
      <c r="F52" t="s">
        <v>237</v>
      </c>
      <c r="G52">
        <v>20</v>
      </c>
      <c r="H52" s="14">
        <f t="shared" si="2"/>
        <v>14.666666666666666</v>
      </c>
    </row>
    <row r="53" spans="1:8">
      <c r="A53" t="s">
        <v>65</v>
      </c>
      <c r="B53" s="17">
        <v>44</v>
      </c>
      <c r="C53" t="s">
        <v>245</v>
      </c>
      <c r="D53" t="s">
        <v>246</v>
      </c>
      <c r="E53" t="s">
        <v>258</v>
      </c>
      <c r="F53" t="s">
        <v>237</v>
      </c>
      <c r="G53">
        <v>20</v>
      </c>
      <c r="H53" s="14">
        <f t="shared" si="2"/>
        <v>14.666666666666666</v>
      </c>
    </row>
    <row r="54" spans="1:8">
      <c r="A54" t="s">
        <v>73</v>
      </c>
      <c r="B54" s="17">
        <v>44</v>
      </c>
      <c r="C54" t="s">
        <v>245</v>
      </c>
      <c r="D54" t="s">
        <v>246</v>
      </c>
      <c r="E54" t="s">
        <v>260</v>
      </c>
      <c r="F54" t="s">
        <v>237</v>
      </c>
      <c r="G54">
        <v>20</v>
      </c>
      <c r="H54" s="14">
        <f t="shared" si="2"/>
        <v>14.666666666666666</v>
      </c>
    </row>
    <row r="55" spans="1:8">
      <c r="A55" t="s">
        <v>117</v>
      </c>
      <c r="B55" s="17">
        <v>44</v>
      </c>
      <c r="C55" t="s">
        <v>245</v>
      </c>
      <c r="D55" t="s">
        <v>246</v>
      </c>
      <c r="E55" t="s">
        <v>263</v>
      </c>
      <c r="F55" t="s">
        <v>237</v>
      </c>
      <c r="G55">
        <v>20</v>
      </c>
      <c r="H55" s="14">
        <f t="shared" si="2"/>
        <v>14.666666666666666</v>
      </c>
    </row>
    <row r="56" spans="1:8">
      <c r="A56" t="s">
        <v>78</v>
      </c>
      <c r="B56" s="17">
        <v>44</v>
      </c>
      <c r="C56" t="s">
        <v>245</v>
      </c>
      <c r="D56" t="s">
        <v>246</v>
      </c>
      <c r="E56" t="s">
        <v>264</v>
      </c>
      <c r="F56" t="s">
        <v>237</v>
      </c>
      <c r="G56">
        <v>20</v>
      </c>
      <c r="H56" s="14">
        <f t="shared" si="2"/>
        <v>14.666666666666666</v>
      </c>
    </row>
    <row r="57" spans="1:8">
      <c r="A57" t="s">
        <v>62</v>
      </c>
      <c r="B57" s="17">
        <v>44</v>
      </c>
      <c r="C57" t="s">
        <v>245</v>
      </c>
      <c r="D57" t="s">
        <v>246</v>
      </c>
      <c r="E57" t="s">
        <v>265</v>
      </c>
      <c r="F57" t="s">
        <v>237</v>
      </c>
      <c r="G57">
        <v>20</v>
      </c>
      <c r="H57" s="14">
        <f t="shared" si="2"/>
        <v>14.666666666666666</v>
      </c>
    </row>
    <row r="58" spans="1:8">
      <c r="A58" t="s">
        <v>47</v>
      </c>
      <c r="B58" s="17">
        <v>44</v>
      </c>
      <c r="C58" t="s">
        <v>245</v>
      </c>
      <c r="D58" t="s">
        <v>246</v>
      </c>
      <c r="E58" t="s">
        <v>266</v>
      </c>
      <c r="F58" t="s">
        <v>237</v>
      </c>
      <c r="G58">
        <v>20</v>
      </c>
      <c r="H58" s="14">
        <f t="shared" si="2"/>
        <v>14.666666666666666</v>
      </c>
    </row>
    <row r="59" spans="1:8">
      <c r="A59" t="s">
        <v>100</v>
      </c>
      <c r="B59" s="17">
        <v>44</v>
      </c>
      <c r="C59" t="s">
        <v>245</v>
      </c>
      <c r="D59" t="s">
        <v>246</v>
      </c>
      <c r="E59" t="s">
        <v>267</v>
      </c>
      <c r="F59" t="s">
        <v>237</v>
      </c>
      <c r="G59">
        <v>20</v>
      </c>
      <c r="H59" s="14">
        <f t="shared" si="2"/>
        <v>14.666666666666666</v>
      </c>
    </row>
    <row r="60" spans="1:8">
      <c r="A60" t="s">
        <v>142</v>
      </c>
      <c r="B60" s="17">
        <v>44</v>
      </c>
      <c r="C60" t="s">
        <v>245</v>
      </c>
      <c r="D60" t="s">
        <v>246</v>
      </c>
      <c r="E60" t="s">
        <v>268</v>
      </c>
      <c r="F60" t="s">
        <v>237</v>
      </c>
      <c r="G60">
        <v>20</v>
      </c>
      <c r="H60" s="14">
        <f t="shared" si="2"/>
        <v>14.666666666666666</v>
      </c>
    </row>
    <row r="61" spans="1:8">
      <c r="A61" t="s">
        <v>116</v>
      </c>
      <c r="B61" s="17">
        <v>57</v>
      </c>
      <c r="C61" t="s">
        <v>245</v>
      </c>
      <c r="D61" t="s">
        <v>246</v>
      </c>
      <c r="E61" t="s">
        <v>275</v>
      </c>
      <c r="F61" t="s">
        <v>237</v>
      </c>
      <c r="G61">
        <v>15</v>
      </c>
      <c r="H61" s="14">
        <f t="shared" si="2"/>
        <v>14.25</v>
      </c>
    </row>
    <row r="62" spans="1:8">
      <c r="A62" t="s">
        <v>137</v>
      </c>
      <c r="B62" s="17">
        <v>57</v>
      </c>
      <c r="C62" t="s">
        <v>245</v>
      </c>
      <c r="D62" t="s">
        <v>246</v>
      </c>
      <c r="E62" t="s">
        <v>276</v>
      </c>
      <c r="F62" t="s">
        <v>237</v>
      </c>
      <c r="G62">
        <v>15</v>
      </c>
      <c r="H62" s="14">
        <f t="shared" si="2"/>
        <v>14.25</v>
      </c>
    </row>
    <row r="63" spans="1:8">
      <c r="A63" t="s">
        <v>121</v>
      </c>
      <c r="B63" s="17">
        <v>57</v>
      </c>
      <c r="C63" t="s">
        <v>245</v>
      </c>
      <c r="D63" t="s">
        <v>246</v>
      </c>
      <c r="E63" t="s">
        <v>277</v>
      </c>
      <c r="F63" t="s">
        <v>237</v>
      </c>
      <c r="G63">
        <v>20</v>
      </c>
      <c r="H63" s="14">
        <f t="shared" si="2"/>
        <v>19</v>
      </c>
    </row>
    <row r="64" spans="1:8">
      <c r="A64" t="s">
        <v>63</v>
      </c>
      <c r="B64" s="17">
        <v>57</v>
      </c>
      <c r="C64" t="s">
        <v>245</v>
      </c>
      <c r="D64" t="s">
        <v>246</v>
      </c>
      <c r="E64" t="s">
        <v>278</v>
      </c>
      <c r="F64" t="s">
        <v>237</v>
      </c>
      <c r="G64">
        <v>15</v>
      </c>
      <c r="H64" s="14">
        <f t="shared" si="2"/>
        <v>14.25</v>
      </c>
    </row>
    <row r="65" spans="1:8">
      <c r="A65" t="s">
        <v>25</v>
      </c>
      <c r="B65" s="17">
        <v>57</v>
      </c>
      <c r="C65" t="s">
        <v>245</v>
      </c>
      <c r="D65" t="s">
        <v>246</v>
      </c>
      <c r="E65" t="s">
        <v>279</v>
      </c>
      <c r="F65" t="s">
        <v>237</v>
      </c>
      <c r="G65">
        <v>15</v>
      </c>
      <c r="H65" s="14">
        <f t="shared" si="2"/>
        <v>14.25</v>
      </c>
    </row>
    <row r="66" spans="1:8">
      <c r="A66" t="s">
        <v>129</v>
      </c>
      <c r="B66" s="17">
        <v>57</v>
      </c>
      <c r="C66" t="s">
        <v>245</v>
      </c>
      <c r="D66" t="s">
        <v>246</v>
      </c>
      <c r="E66" t="s">
        <v>280</v>
      </c>
      <c r="F66" t="s">
        <v>237</v>
      </c>
      <c r="G66">
        <v>15</v>
      </c>
      <c r="H66" s="14">
        <f t="shared" si="2"/>
        <v>14.25</v>
      </c>
    </row>
    <row r="67" spans="1:8">
      <c r="A67" t="s">
        <v>119</v>
      </c>
      <c r="B67" s="17">
        <v>58</v>
      </c>
      <c r="C67" t="s">
        <v>245</v>
      </c>
      <c r="D67" t="s">
        <v>249</v>
      </c>
      <c r="E67" t="s">
        <v>283</v>
      </c>
      <c r="F67" t="s">
        <v>237</v>
      </c>
      <c r="G67">
        <v>20</v>
      </c>
      <c r="H67" s="14">
        <f t="shared" si="2"/>
        <v>19.333333333333332</v>
      </c>
    </row>
    <row r="68" spans="1:8">
      <c r="A68" t="s">
        <v>76</v>
      </c>
      <c r="B68" s="17">
        <v>68</v>
      </c>
      <c r="C68" t="s">
        <v>245</v>
      </c>
      <c r="D68" t="s">
        <v>246</v>
      </c>
      <c r="E68" t="s">
        <v>284</v>
      </c>
      <c r="F68" t="s">
        <v>237</v>
      </c>
      <c r="G68">
        <v>20</v>
      </c>
      <c r="H68" s="14">
        <f t="shared" si="2"/>
        <v>22.666666666666664</v>
      </c>
    </row>
    <row r="69" spans="1:8">
      <c r="A69" t="s">
        <v>139</v>
      </c>
      <c r="B69" s="17">
        <v>68</v>
      </c>
      <c r="C69" t="s">
        <v>245</v>
      </c>
      <c r="D69" t="s">
        <v>246</v>
      </c>
      <c r="E69" t="s">
        <v>286</v>
      </c>
      <c r="F69" t="s">
        <v>237</v>
      </c>
      <c r="G69">
        <v>15</v>
      </c>
      <c r="H69" s="14">
        <f t="shared" si="2"/>
        <v>17</v>
      </c>
    </row>
    <row r="70" spans="1:8">
      <c r="A70" t="s">
        <v>94</v>
      </c>
      <c r="B70" s="17">
        <v>68</v>
      </c>
      <c r="C70" t="s">
        <v>245</v>
      </c>
      <c r="D70" t="s">
        <v>246</v>
      </c>
      <c r="E70" t="s">
        <v>290</v>
      </c>
      <c r="F70" t="s">
        <v>237</v>
      </c>
      <c r="G70">
        <v>15</v>
      </c>
      <c r="H70" s="14">
        <f t="shared" si="2"/>
        <v>17</v>
      </c>
    </row>
    <row r="71" spans="1:8">
      <c r="A71" t="s">
        <v>126</v>
      </c>
      <c r="B71" s="17">
        <v>68</v>
      </c>
      <c r="C71" t="s">
        <v>245</v>
      </c>
      <c r="D71" t="s">
        <v>246</v>
      </c>
      <c r="E71" t="s">
        <v>292</v>
      </c>
      <c r="F71" t="s">
        <v>237</v>
      </c>
      <c r="G71">
        <v>15</v>
      </c>
      <c r="H71" s="14">
        <f t="shared" si="2"/>
        <v>17</v>
      </c>
    </row>
    <row r="72" spans="1:8">
      <c r="A72" t="s">
        <v>110</v>
      </c>
      <c r="B72" s="17">
        <v>77</v>
      </c>
      <c r="C72" t="s">
        <v>245</v>
      </c>
      <c r="D72" t="s">
        <v>246</v>
      </c>
      <c r="E72" t="s">
        <v>294</v>
      </c>
      <c r="F72" t="s">
        <v>237</v>
      </c>
      <c r="G72">
        <v>15</v>
      </c>
      <c r="H72" s="14">
        <f t="shared" si="2"/>
        <v>19.25</v>
      </c>
    </row>
    <row r="73" spans="1:8">
      <c r="A73" t="s">
        <v>141</v>
      </c>
      <c r="B73" s="17">
        <v>77</v>
      </c>
      <c r="C73" t="s">
        <v>245</v>
      </c>
      <c r="D73" t="s">
        <v>246</v>
      </c>
      <c r="E73" t="s">
        <v>295</v>
      </c>
      <c r="F73" t="s">
        <v>237</v>
      </c>
      <c r="G73">
        <v>15</v>
      </c>
      <c r="H73" s="14">
        <f t="shared" si="2"/>
        <v>19.25</v>
      </c>
    </row>
    <row r="74" spans="1:8">
      <c r="A74" t="s">
        <v>151</v>
      </c>
      <c r="B74" s="17">
        <v>77</v>
      </c>
      <c r="C74" t="s">
        <v>245</v>
      </c>
      <c r="D74" t="s">
        <v>246</v>
      </c>
      <c r="E74" t="s">
        <v>296</v>
      </c>
      <c r="F74" t="s">
        <v>237</v>
      </c>
      <c r="G74">
        <v>15</v>
      </c>
      <c r="H74" s="14">
        <f t="shared" si="2"/>
        <v>19.25</v>
      </c>
    </row>
    <row r="75" spans="1:8">
      <c r="A75" t="s">
        <v>140</v>
      </c>
      <c r="B75" s="17">
        <v>77</v>
      </c>
      <c r="C75" t="s">
        <v>245</v>
      </c>
      <c r="D75" t="s">
        <v>246</v>
      </c>
      <c r="E75" t="s">
        <v>299</v>
      </c>
      <c r="F75" t="s">
        <v>237</v>
      </c>
      <c r="G75">
        <v>15</v>
      </c>
      <c r="H75" s="14">
        <f t="shared" si="2"/>
        <v>19.25</v>
      </c>
    </row>
    <row r="76" spans="1:8">
      <c r="A76" t="s">
        <v>113</v>
      </c>
      <c r="B76" s="17">
        <v>77</v>
      </c>
      <c r="C76" t="s">
        <v>245</v>
      </c>
      <c r="D76" t="s">
        <v>246</v>
      </c>
      <c r="E76" t="s">
        <v>300</v>
      </c>
      <c r="F76" t="s">
        <v>237</v>
      </c>
      <c r="G76">
        <v>15</v>
      </c>
      <c r="H76" s="14">
        <f t="shared" si="2"/>
        <v>19.25</v>
      </c>
    </row>
    <row r="77" spans="1:8">
      <c r="A77" t="s">
        <v>107</v>
      </c>
      <c r="B77" s="17">
        <v>77</v>
      </c>
      <c r="C77" t="s">
        <v>245</v>
      </c>
      <c r="D77" t="s">
        <v>246</v>
      </c>
      <c r="E77" t="s">
        <v>301</v>
      </c>
      <c r="F77" t="s">
        <v>237</v>
      </c>
      <c r="G77">
        <v>15</v>
      </c>
      <c r="H77" s="14">
        <f t="shared" si="2"/>
        <v>19.25</v>
      </c>
    </row>
    <row r="78" spans="1:8">
      <c r="A78" t="s">
        <v>95</v>
      </c>
      <c r="B78" s="17">
        <v>77</v>
      </c>
      <c r="C78" t="s">
        <v>245</v>
      </c>
      <c r="D78" t="s">
        <v>246</v>
      </c>
      <c r="E78" t="s">
        <v>301</v>
      </c>
      <c r="F78" t="s">
        <v>237</v>
      </c>
      <c r="G78">
        <v>15</v>
      </c>
      <c r="H78" s="14">
        <f t="shared" si="2"/>
        <v>19.25</v>
      </c>
    </row>
    <row r="79" spans="1:8">
      <c r="A79" t="s">
        <v>115</v>
      </c>
      <c r="B79" s="17">
        <v>106</v>
      </c>
      <c r="C79" t="s">
        <v>245</v>
      </c>
      <c r="D79" t="s">
        <v>246</v>
      </c>
      <c r="E79" t="s">
        <v>303</v>
      </c>
      <c r="F79" t="s">
        <v>237</v>
      </c>
      <c r="G79">
        <v>15</v>
      </c>
      <c r="H79" s="14">
        <f t="shared" si="2"/>
        <v>26.5</v>
      </c>
    </row>
    <row r="80" spans="1:8">
      <c r="A80" t="s">
        <v>80</v>
      </c>
      <c r="B80" s="17">
        <v>106</v>
      </c>
      <c r="C80" t="s">
        <v>245</v>
      </c>
      <c r="D80" t="s">
        <v>246</v>
      </c>
      <c r="E80" t="s">
        <v>304</v>
      </c>
      <c r="F80" t="s">
        <v>237</v>
      </c>
      <c r="G80">
        <v>20</v>
      </c>
      <c r="H80" s="14">
        <f t="shared" si="2"/>
        <v>35.333333333333329</v>
      </c>
    </row>
    <row r="81" spans="1:9">
      <c r="A81" t="s">
        <v>131</v>
      </c>
      <c r="B81" s="17">
        <v>106</v>
      </c>
      <c r="C81" t="s">
        <v>245</v>
      </c>
      <c r="D81" t="s">
        <v>246</v>
      </c>
      <c r="E81" t="s">
        <v>305</v>
      </c>
      <c r="F81" t="s">
        <v>237</v>
      </c>
      <c r="G81">
        <v>15</v>
      </c>
      <c r="H81" s="14">
        <f t="shared" si="2"/>
        <v>26.5</v>
      </c>
    </row>
    <row r="82" spans="1:9">
      <c r="A82" t="s">
        <v>72</v>
      </c>
      <c r="B82" s="17">
        <v>106</v>
      </c>
      <c r="C82" t="s">
        <v>245</v>
      </c>
      <c r="D82" t="s">
        <v>246</v>
      </c>
      <c r="E82" t="s">
        <v>306</v>
      </c>
      <c r="F82" t="s">
        <v>237</v>
      </c>
      <c r="G82">
        <v>20</v>
      </c>
      <c r="H82" s="14">
        <f t="shared" si="2"/>
        <v>35.333333333333329</v>
      </c>
    </row>
    <row r="83" spans="1:9">
      <c r="A83" t="s">
        <v>149</v>
      </c>
      <c r="B83" s="17">
        <v>27214</v>
      </c>
      <c r="C83" t="s">
        <v>307</v>
      </c>
      <c r="D83" t="s">
        <v>309</v>
      </c>
      <c r="F83" t="s">
        <v>237</v>
      </c>
      <c r="G83">
        <v>20</v>
      </c>
      <c r="H83" s="14">
        <f t="shared" ref="H83:H85" si="3">(B83/((52*37.5)-217.5-60)/60)*G83</f>
        <v>5.4238166417538611</v>
      </c>
      <c r="I83" t="s">
        <v>330</v>
      </c>
    </row>
    <row r="84" spans="1:9">
      <c r="A84" t="s">
        <v>145</v>
      </c>
      <c r="B84" s="17">
        <v>27214</v>
      </c>
      <c r="C84" t="s">
        <v>307</v>
      </c>
      <c r="D84" t="s">
        <v>309</v>
      </c>
      <c r="F84" t="s">
        <v>237</v>
      </c>
      <c r="G84">
        <v>20</v>
      </c>
      <c r="H84" s="14">
        <f t="shared" si="3"/>
        <v>5.4238166417538611</v>
      </c>
      <c r="I84" t="s">
        <v>330</v>
      </c>
    </row>
    <row r="85" spans="1:9">
      <c r="A85" t="s">
        <v>106</v>
      </c>
      <c r="B85" s="17">
        <v>62428</v>
      </c>
      <c r="C85" t="s">
        <v>307</v>
      </c>
      <c r="D85" t="s">
        <v>313</v>
      </c>
      <c r="F85" t="s">
        <v>236</v>
      </c>
      <c r="G85">
        <v>20</v>
      </c>
      <c r="H85" s="14">
        <f t="shared" si="3"/>
        <v>12.442052815146987</v>
      </c>
      <c r="I85" t="s">
        <v>330</v>
      </c>
    </row>
    <row r="86" spans="1:9">
      <c r="A86" t="s">
        <v>79</v>
      </c>
      <c r="B86" s="17">
        <v>3.7</v>
      </c>
      <c r="C86" t="s">
        <v>243</v>
      </c>
      <c r="D86" t="s">
        <v>244</v>
      </c>
      <c r="F86" t="s">
        <v>333</v>
      </c>
      <c r="G86">
        <v>15</v>
      </c>
      <c r="H86" s="14">
        <f t="shared" ref="H86:H99" si="4">G86*B86</f>
        <v>55.5</v>
      </c>
    </row>
    <row r="87" spans="1:9">
      <c r="A87" t="s">
        <v>136</v>
      </c>
      <c r="B87" s="17">
        <v>3.7</v>
      </c>
      <c r="C87" t="s">
        <v>243</v>
      </c>
      <c r="D87" t="s">
        <v>244</v>
      </c>
      <c r="F87" t="s">
        <v>333</v>
      </c>
      <c r="G87">
        <v>15</v>
      </c>
      <c r="H87" s="14">
        <f t="shared" si="4"/>
        <v>55.5</v>
      </c>
    </row>
    <row r="88" spans="1:9">
      <c r="A88" t="s">
        <v>74</v>
      </c>
      <c r="B88" s="17">
        <v>3.7</v>
      </c>
      <c r="C88" t="s">
        <v>243</v>
      </c>
      <c r="D88" t="s">
        <v>244</v>
      </c>
      <c r="F88" t="s">
        <v>333</v>
      </c>
      <c r="G88">
        <v>15</v>
      </c>
      <c r="H88" s="14">
        <f t="shared" si="4"/>
        <v>55.5</v>
      </c>
    </row>
    <row r="89" spans="1:9">
      <c r="A89" t="s">
        <v>20</v>
      </c>
      <c r="B89" s="17">
        <v>3.7</v>
      </c>
      <c r="C89" t="s">
        <v>243</v>
      </c>
      <c r="D89" t="s">
        <v>244</v>
      </c>
      <c r="F89" s="18" t="s">
        <v>332</v>
      </c>
      <c r="G89">
        <v>15</v>
      </c>
      <c r="H89" s="14">
        <f t="shared" si="4"/>
        <v>55.5</v>
      </c>
    </row>
    <row r="90" spans="1:9">
      <c r="A90" t="s">
        <v>2</v>
      </c>
      <c r="B90" s="17">
        <v>3.7</v>
      </c>
      <c r="C90" t="s">
        <v>243</v>
      </c>
      <c r="D90" t="s">
        <v>244</v>
      </c>
      <c r="F90" s="18" t="s">
        <v>332</v>
      </c>
      <c r="G90">
        <v>15</v>
      </c>
      <c r="H90" s="14">
        <f t="shared" si="4"/>
        <v>55.5</v>
      </c>
    </row>
    <row r="91" spans="1:9">
      <c r="A91" t="s">
        <v>71</v>
      </c>
      <c r="B91" s="17">
        <v>3.7</v>
      </c>
      <c r="C91" t="s">
        <v>243</v>
      </c>
      <c r="D91" t="s">
        <v>244</v>
      </c>
      <c r="F91" t="s">
        <v>333</v>
      </c>
      <c r="G91">
        <v>15</v>
      </c>
      <c r="H91" s="14">
        <f t="shared" si="4"/>
        <v>55.5</v>
      </c>
    </row>
    <row r="92" spans="1:9">
      <c r="A92" t="s">
        <v>112</v>
      </c>
      <c r="B92" s="17">
        <v>3.7</v>
      </c>
      <c r="C92" t="s">
        <v>243</v>
      </c>
      <c r="D92" t="s">
        <v>244</v>
      </c>
      <c r="F92" t="s">
        <v>333</v>
      </c>
      <c r="G92">
        <v>15</v>
      </c>
      <c r="H92" s="14">
        <f t="shared" si="4"/>
        <v>55.5</v>
      </c>
    </row>
    <row r="93" spans="1:9">
      <c r="A93" t="s">
        <v>24</v>
      </c>
      <c r="B93" s="17">
        <v>3.7</v>
      </c>
      <c r="C93" t="s">
        <v>243</v>
      </c>
      <c r="D93" t="s">
        <v>244</v>
      </c>
      <c r="F93" s="18" t="s">
        <v>332</v>
      </c>
      <c r="G93">
        <v>15</v>
      </c>
      <c r="H93" s="14">
        <f t="shared" si="4"/>
        <v>55.5</v>
      </c>
    </row>
    <row r="94" spans="1:9">
      <c r="A94" t="s">
        <v>155</v>
      </c>
      <c r="B94" s="17">
        <v>3.7</v>
      </c>
      <c r="C94" t="s">
        <v>243</v>
      </c>
      <c r="D94" t="s">
        <v>244</v>
      </c>
      <c r="F94" t="s">
        <v>333</v>
      </c>
      <c r="G94">
        <v>15</v>
      </c>
      <c r="H94" s="14">
        <f t="shared" si="4"/>
        <v>55.5</v>
      </c>
    </row>
    <row r="95" spans="1:9">
      <c r="A95" t="s">
        <v>11</v>
      </c>
      <c r="B95" s="17">
        <v>3.7</v>
      </c>
      <c r="C95" t="s">
        <v>243</v>
      </c>
      <c r="D95" t="s">
        <v>244</v>
      </c>
      <c r="F95" s="18" t="s">
        <v>332</v>
      </c>
      <c r="G95">
        <v>15</v>
      </c>
      <c r="H95" s="14">
        <f t="shared" si="4"/>
        <v>55.5</v>
      </c>
    </row>
    <row r="96" spans="1:9">
      <c r="A96" t="s">
        <v>92</v>
      </c>
      <c r="B96" s="17">
        <v>3.7</v>
      </c>
      <c r="C96" t="s">
        <v>243</v>
      </c>
      <c r="D96" t="s">
        <v>244</v>
      </c>
      <c r="F96" t="s">
        <v>333</v>
      </c>
      <c r="G96">
        <v>15</v>
      </c>
      <c r="H96" s="14">
        <f t="shared" si="4"/>
        <v>55.5</v>
      </c>
    </row>
    <row r="97" spans="1:9">
      <c r="A97" t="s">
        <v>17</v>
      </c>
      <c r="B97" s="17">
        <v>3.7</v>
      </c>
      <c r="C97" t="s">
        <v>243</v>
      </c>
      <c r="D97" t="s">
        <v>244</v>
      </c>
      <c r="F97" s="18" t="s">
        <v>332</v>
      </c>
      <c r="G97">
        <v>15</v>
      </c>
      <c r="H97" s="14">
        <f t="shared" si="4"/>
        <v>55.5</v>
      </c>
    </row>
    <row r="98" spans="1:9">
      <c r="A98" t="s">
        <v>111</v>
      </c>
      <c r="B98" s="17">
        <v>3.7</v>
      </c>
      <c r="C98" t="s">
        <v>243</v>
      </c>
      <c r="D98" t="s">
        <v>244</v>
      </c>
      <c r="F98" t="s">
        <v>333</v>
      </c>
      <c r="G98">
        <v>15</v>
      </c>
      <c r="H98" s="14">
        <f t="shared" si="4"/>
        <v>55.5</v>
      </c>
    </row>
    <row r="99" spans="1:9">
      <c r="A99" t="s">
        <v>128</v>
      </c>
      <c r="B99" s="17">
        <v>3.7</v>
      </c>
      <c r="C99" t="s">
        <v>243</v>
      </c>
      <c r="D99" t="s">
        <v>244</v>
      </c>
      <c r="F99" t="s">
        <v>333</v>
      </c>
      <c r="G99">
        <v>15</v>
      </c>
      <c r="H99" s="14">
        <f t="shared" si="4"/>
        <v>55.5</v>
      </c>
    </row>
    <row r="100" spans="1:9">
      <c r="A100" t="s">
        <v>58</v>
      </c>
      <c r="B100" s="17">
        <v>27214</v>
      </c>
      <c r="C100" t="s">
        <v>307</v>
      </c>
      <c r="D100" t="s">
        <v>309</v>
      </c>
      <c r="F100" t="s">
        <v>333</v>
      </c>
      <c r="G100">
        <v>20</v>
      </c>
      <c r="H100" s="14">
        <f>(B100/((52*37.5)-217.5-60)/60)*G100</f>
        <v>5.4238166417538611</v>
      </c>
      <c r="I100" t="s">
        <v>330</v>
      </c>
    </row>
    <row r="101" spans="1:9">
      <c r="A101" t="s">
        <v>102</v>
      </c>
      <c r="B101" s="17">
        <v>44</v>
      </c>
      <c r="C101" t="s">
        <v>245</v>
      </c>
      <c r="D101" t="s">
        <v>246</v>
      </c>
      <c r="E101" t="s">
        <v>269</v>
      </c>
      <c r="F101" s="8" t="s">
        <v>235</v>
      </c>
      <c r="G101">
        <v>20</v>
      </c>
      <c r="H101" s="14">
        <f>(B101/60)*G101</f>
        <v>14.666666666666666</v>
      </c>
      <c r="I101" t="s">
        <v>317</v>
      </c>
    </row>
    <row r="102" spans="1:9">
      <c r="A102" t="s">
        <v>26</v>
      </c>
      <c r="B102" s="17">
        <v>3.7</v>
      </c>
      <c r="C102" t="s">
        <v>243</v>
      </c>
      <c r="D102" t="s">
        <v>244</v>
      </c>
      <c r="F102" t="s">
        <v>333</v>
      </c>
      <c r="G102">
        <v>15</v>
      </c>
      <c r="H102" s="14">
        <f>G102*B102</f>
        <v>55.5</v>
      </c>
      <c r="I102" t="s">
        <v>317</v>
      </c>
    </row>
    <row r="103" spans="1:9">
      <c r="A103" t="s">
        <v>103</v>
      </c>
      <c r="B103" s="17">
        <v>62428</v>
      </c>
      <c r="C103" t="s">
        <v>307</v>
      </c>
      <c r="D103" t="s">
        <v>313</v>
      </c>
      <c r="F103" t="s">
        <v>333</v>
      </c>
      <c r="G103">
        <v>5</v>
      </c>
      <c r="H103" s="14">
        <f>(B103/((52*37.5)-217.5-60)/60)*G103</f>
        <v>3.1105132037867467</v>
      </c>
      <c r="I103" t="s">
        <v>331</v>
      </c>
    </row>
    <row r="104" spans="1:9">
      <c r="A104" t="s">
        <v>29</v>
      </c>
      <c r="B104" s="17">
        <v>3.7</v>
      </c>
      <c r="C104" t="s">
        <v>243</v>
      </c>
      <c r="D104" t="s">
        <v>244</v>
      </c>
      <c r="F104" s="18" t="s">
        <v>332</v>
      </c>
      <c r="G104">
        <v>20</v>
      </c>
      <c r="H104" s="14">
        <f>G104*B104</f>
        <v>74</v>
      </c>
    </row>
    <row r="105" spans="1:9">
      <c r="A105" t="s">
        <v>66</v>
      </c>
      <c r="B105" s="17">
        <v>3.7</v>
      </c>
      <c r="C105" t="s">
        <v>243</v>
      </c>
      <c r="D105" t="s">
        <v>244</v>
      </c>
      <c r="F105" t="s">
        <v>235</v>
      </c>
      <c r="G105">
        <v>20</v>
      </c>
      <c r="H105" s="14">
        <f>G105*B105</f>
        <v>74</v>
      </c>
    </row>
    <row r="106" spans="1:9">
      <c r="A106" t="s">
        <v>5</v>
      </c>
      <c r="B106" s="17">
        <v>3.7</v>
      </c>
      <c r="C106" t="s">
        <v>243</v>
      </c>
      <c r="D106" t="s">
        <v>244</v>
      </c>
      <c r="F106" t="s">
        <v>235</v>
      </c>
      <c r="G106">
        <v>20</v>
      </c>
      <c r="H106" s="14">
        <f>G106*B106</f>
        <v>74</v>
      </c>
    </row>
    <row r="107" spans="1:9">
      <c r="A107" t="s">
        <v>69</v>
      </c>
      <c r="B107" s="17">
        <v>39</v>
      </c>
      <c r="C107" t="s">
        <v>245</v>
      </c>
      <c r="D107" t="s">
        <v>246</v>
      </c>
      <c r="E107" t="s">
        <v>247</v>
      </c>
      <c r="F107" t="s">
        <v>235</v>
      </c>
      <c r="G107">
        <v>15</v>
      </c>
      <c r="H107" s="14">
        <f t="shared" ref="H107:H115" si="5">(B107/60)*G107</f>
        <v>9.75</v>
      </c>
    </row>
    <row r="108" spans="1:9">
      <c r="A108" t="s">
        <v>44</v>
      </c>
      <c r="B108" s="17">
        <v>39</v>
      </c>
      <c r="C108" t="s">
        <v>245</v>
      </c>
      <c r="D108" t="s">
        <v>246</v>
      </c>
      <c r="E108" t="s">
        <v>248</v>
      </c>
      <c r="F108" t="s">
        <v>235</v>
      </c>
      <c r="G108">
        <v>20</v>
      </c>
      <c r="H108" s="14">
        <f t="shared" si="5"/>
        <v>13</v>
      </c>
    </row>
    <row r="109" spans="1:9">
      <c r="A109" t="s">
        <v>57</v>
      </c>
      <c r="B109" s="17">
        <v>39</v>
      </c>
      <c r="C109" t="s">
        <v>245</v>
      </c>
      <c r="D109" t="s">
        <v>249</v>
      </c>
      <c r="E109" t="s">
        <v>250</v>
      </c>
      <c r="F109" t="s">
        <v>235</v>
      </c>
      <c r="G109">
        <v>20</v>
      </c>
      <c r="H109" s="14">
        <f t="shared" si="5"/>
        <v>13</v>
      </c>
    </row>
    <row r="110" spans="1:9">
      <c r="A110" t="s">
        <v>40</v>
      </c>
      <c r="B110" s="17">
        <v>39</v>
      </c>
      <c r="C110" t="s">
        <v>245</v>
      </c>
      <c r="D110" t="s">
        <v>246</v>
      </c>
      <c r="E110" t="s">
        <v>252</v>
      </c>
      <c r="F110" t="s">
        <v>235</v>
      </c>
      <c r="G110">
        <v>20</v>
      </c>
      <c r="H110" s="14">
        <f t="shared" si="5"/>
        <v>13</v>
      </c>
    </row>
    <row r="111" spans="1:9">
      <c r="A111" t="s">
        <v>83</v>
      </c>
      <c r="B111" s="17">
        <v>39</v>
      </c>
      <c r="C111" t="s">
        <v>245</v>
      </c>
      <c r="D111" t="s">
        <v>246</v>
      </c>
      <c r="E111" t="s">
        <v>255</v>
      </c>
      <c r="F111" t="s">
        <v>235</v>
      </c>
      <c r="G111">
        <v>20</v>
      </c>
      <c r="H111" s="14">
        <f t="shared" si="5"/>
        <v>13</v>
      </c>
    </row>
    <row r="112" spans="1:9">
      <c r="A112" t="s">
        <v>59</v>
      </c>
      <c r="B112" s="17">
        <v>44</v>
      </c>
      <c r="C112" t="s">
        <v>245</v>
      </c>
      <c r="D112" t="s">
        <v>246</v>
      </c>
      <c r="E112" t="s">
        <v>259</v>
      </c>
      <c r="F112" t="s">
        <v>235</v>
      </c>
      <c r="G112">
        <v>20</v>
      </c>
      <c r="H112" s="14">
        <f t="shared" si="5"/>
        <v>14.666666666666666</v>
      </c>
    </row>
    <row r="113" spans="1:9">
      <c r="A113" t="s">
        <v>118</v>
      </c>
      <c r="B113" s="17">
        <v>44</v>
      </c>
      <c r="C113" t="s">
        <v>245</v>
      </c>
      <c r="D113" t="s">
        <v>246</v>
      </c>
      <c r="E113" t="s">
        <v>261</v>
      </c>
      <c r="F113" t="s">
        <v>235</v>
      </c>
      <c r="G113">
        <v>10</v>
      </c>
      <c r="H113" s="14">
        <f t="shared" si="5"/>
        <v>7.333333333333333</v>
      </c>
    </row>
    <row r="114" spans="1:9">
      <c r="A114" t="s">
        <v>90</v>
      </c>
      <c r="B114" s="17">
        <v>44</v>
      </c>
      <c r="C114" t="s">
        <v>245</v>
      </c>
      <c r="D114" t="s">
        <v>246</v>
      </c>
      <c r="E114" t="s">
        <v>262</v>
      </c>
      <c r="F114" t="s">
        <v>235</v>
      </c>
      <c r="G114">
        <v>20</v>
      </c>
      <c r="H114" s="14">
        <f t="shared" si="5"/>
        <v>14.666666666666666</v>
      </c>
    </row>
    <row r="115" spans="1:9">
      <c r="A115" t="s">
        <v>109</v>
      </c>
      <c r="B115" s="17">
        <v>68</v>
      </c>
      <c r="C115" t="s">
        <v>245</v>
      </c>
      <c r="D115" t="s">
        <v>246</v>
      </c>
      <c r="E115" t="s">
        <v>285</v>
      </c>
      <c r="F115" t="s">
        <v>235</v>
      </c>
      <c r="G115">
        <v>20</v>
      </c>
      <c r="H115" s="14">
        <f t="shared" si="5"/>
        <v>22.666666666666664</v>
      </c>
    </row>
    <row r="116" spans="1:9">
      <c r="A116" t="s">
        <v>43</v>
      </c>
      <c r="B116" s="17">
        <v>22984</v>
      </c>
      <c r="C116" t="s">
        <v>307</v>
      </c>
      <c r="D116" t="s">
        <v>308</v>
      </c>
      <c r="F116" t="s">
        <v>235</v>
      </c>
      <c r="G116">
        <v>10</v>
      </c>
      <c r="H116" s="14">
        <f t="shared" ref="H116:H128" si="6">(B116/((52*37.5)-217.5-60)/60)*G116</f>
        <v>2.2903836571998006</v>
      </c>
      <c r="I116" t="s">
        <v>330</v>
      </c>
    </row>
    <row r="117" spans="1:9">
      <c r="A117" t="s">
        <v>7</v>
      </c>
      <c r="B117" s="17">
        <v>22984</v>
      </c>
      <c r="C117" t="s">
        <v>307</v>
      </c>
      <c r="D117" t="s">
        <v>308</v>
      </c>
      <c r="F117" t="s">
        <v>235</v>
      </c>
      <c r="G117">
        <v>20</v>
      </c>
      <c r="H117" s="14">
        <f t="shared" si="6"/>
        <v>4.5807673143996013</v>
      </c>
      <c r="I117" t="s">
        <v>330</v>
      </c>
    </row>
    <row r="118" spans="1:9">
      <c r="A118" t="s">
        <v>10</v>
      </c>
      <c r="B118" s="17">
        <v>22984</v>
      </c>
      <c r="C118" t="s">
        <v>307</v>
      </c>
      <c r="D118" t="s">
        <v>308</v>
      </c>
      <c r="F118" t="s">
        <v>235</v>
      </c>
      <c r="G118">
        <v>10</v>
      </c>
      <c r="H118" s="14">
        <f t="shared" si="6"/>
        <v>2.2903836571998006</v>
      </c>
      <c r="I118" t="s">
        <v>330</v>
      </c>
    </row>
    <row r="119" spans="1:9">
      <c r="A119" t="s">
        <v>23</v>
      </c>
      <c r="B119" s="17">
        <v>22984</v>
      </c>
      <c r="C119" t="s">
        <v>307</v>
      </c>
      <c r="D119" t="s">
        <v>308</v>
      </c>
      <c r="F119" t="s">
        <v>235</v>
      </c>
      <c r="G119">
        <v>10</v>
      </c>
      <c r="H119" s="14">
        <f t="shared" si="6"/>
        <v>2.2903836571998006</v>
      </c>
      <c r="I119" t="s">
        <v>330</v>
      </c>
    </row>
    <row r="120" spans="1:9">
      <c r="A120" t="s">
        <v>97</v>
      </c>
      <c r="B120" s="17">
        <v>22984</v>
      </c>
      <c r="C120" t="s">
        <v>307</v>
      </c>
      <c r="D120" t="s">
        <v>308</v>
      </c>
      <c r="F120" t="s">
        <v>235</v>
      </c>
      <c r="G120">
        <v>20</v>
      </c>
      <c r="H120" s="14">
        <f t="shared" si="6"/>
        <v>4.5807673143996013</v>
      </c>
      <c r="I120" t="s">
        <v>330</v>
      </c>
    </row>
    <row r="121" spans="1:9">
      <c r="A121" t="s">
        <v>134</v>
      </c>
      <c r="B121" s="17">
        <v>27214</v>
      </c>
      <c r="C121" t="s">
        <v>307</v>
      </c>
      <c r="D121" t="s">
        <v>309</v>
      </c>
      <c r="F121" t="s">
        <v>235</v>
      </c>
      <c r="G121">
        <v>15</v>
      </c>
      <c r="H121" s="14">
        <f t="shared" si="6"/>
        <v>4.0678624813153963</v>
      </c>
      <c r="I121" t="s">
        <v>330</v>
      </c>
    </row>
    <row r="122" spans="1:9">
      <c r="A122" t="s">
        <v>130</v>
      </c>
      <c r="B122" s="17">
        <v>27214</v>
      </c>
      <c r="C122" t="s">
        <v>307</v>
      </c>
      <c r="D122" t="s">
        <v>309</v>
      </c>
      <c r="F122" t="s">
        <v>235</v>
      </c>
      <c r="G122">
        <v>20</v>
      </c>
      <c r="H122" s="14">
        <f t="shared" si="6"/>
        <v>5.4238166417538611</v>
      </c>
      <c r="I122" t="s">
        <v>330</v>
      </c>
    </row>
    <row r="123" spans="1:9">
      <c r="A123" t="s">
        <v>157</v>
      </c>
      <c r="B123" s="17">
        <v>27214</v>
      </c>
      <c r="C123" t="s">
        <v>307</v>
      </c>
      <c r="D123" t="s">
        <v>309</v>
      </c>
      <c r="F123" t="s">
        <v>235</v>
      </c>
      <c r="G123">
        <v>5</v>
      </c>
      <c r="H123" s="14">
        <f t="shared" si="6"/>
        <v>1.3559541604384653</v>
      </c>
      <c r="I123" t="s">
        <v>330</v>
      </c>
    </row>
    <row r="124" spans="1:9">
      <c r="A124" t="s">
        <v>22</v>
      </c>
      <c r="B124" s="17">
        <v>30238</v>
      </c>
      <c r="C124" t="s">
        <v>307</v>
      </c>
      <c r="D124" t="s">
        <v>310</v>
      </c>
      <c r="F124" t="s">
        <v>235</v>
      </c>
      <c r="G124">
        <v>20</v>
      </c>
      <c r="H124" s="14">
        <f t="shared" si="6"/>
        <v>6.0265072247135034</v>
      </c>
      <c r="I124" t="s">
        <v>330</v>
      </c>
    </row>
    <row r="125" spans="1:9">
      <c r="A125" t="s">
        <v>51</v>
      </c>
      <c r="B125" s="17">
        <v>30238</v>
      </c>
      <c r="C125" t="s">
        <v>307</v>
      </c>
      <c r="D125" t="s">
        <v>310</v>
      </c>
      <c r="F125" t="s">
        <v>235</v>
      </c>
      <c r="G125">
        <v>10</v>
      </c>
      <c r="H125" s="14">
        <f t="shared" si="6"/>
        <v>3.0132536123567517</v>
      </c>
      <c r="I125" t="s">
        <v>330</v>
      </c>
    </row>
    <row r="126" spans="1:9">
      <c r="A126" t="s">
        <v>89</v>
      </c>
      <c r="B126" s="17">
        <v>30238</v>
      </c>
      <c r="C126" t="s">
        <v>307</v>
      </c>
      <c r="D126" t="s">
        <v>310</v>
      </c>
      <c r="F126" t="s">
        <v>235</v>
      </c>
      <c r="G126">
        <v>2</v>
      </c>
      <c r="H126" s="14">
        <f t="shared" si="6"/>
        <v>0.60265072247135032</v>
      </c>
      <c r="I126" t="s">
        <v>330</v>
      </c>
    </row>
    <row r="127" spans="1:9">
      <c r="A127" t="s">
        <v>146</v>
      </c>
      <c r="B127" s="17">
        <v>30238</v>
      </c>
      <c r="C127" t="s">
        <v>307</v>
      </c>
      <c r="D127" t="s">
        <v>310</v>
      </c>
      <c r="F127" t="s">
        <v>235</v>
      </c>
      <c r="G127">
        <v>5</v>
      </c>
      <c r="H127" s="14">
        <f t="shared" si="6"/>
        <v>1.5066268061783759</v>
      </c>
      <c r="I127" t="s">
        <v>330</v>
      </c>
    </row>
    <row r="128" spans="1:9">
      <c r="A128" t="s">
        <v>152</v>
      </c>
      <c r="B128" s="17">
        <v>36000</v>
      </c>
      <c r="C128" t="s">
        <v>307</v>
      </c>
      <c r="D128" t="s">
        <v>312</v>
      </c>
      <c r="F128" t="s">
        <v>235</v>
      </c>
      <c r="G128">
        <v>5</v>
      </c>
      <c r="H128" s="14">
        <f t="shared" si="6"/>
        <v>1.7937219730941707</v>
      </c>
      <c r="I128" t="s">
        <v>330</v>
      </c>
    </row>
    <row r="129" spans="1:9">
      <c r="A129" t="s">
        <v>61</v>
      </c>
      <c r="B129" s="17">
        <v>3.7</v>
      </c>
      <c r="C129" t="s">
        <v>243</v>
      </c>
      <c r="D129" t="s">
        <v>244</v>
      </c>
      <c r="F129" t="s">
        <v>6</v>
      </c>
      <c r="G129">
        <v>15</v>
      </c>
      <c r="H129" s="14">
        <f>G129*B129</f>
        <v>55.5</v>
      </c>
    </row>
    <row r="130" spans="1:9">
      <c r="A130" t="s">
        <v>33</v>
      </c>
      <c r="B130" s="17">
        <v>39</v>
      </c>
      <c r="C130" t="s">
        <v>245</v>
      </c>
      <c r="D130" t="s">
        <v>249</v>
      </c>
      <c r="E130" t="s">
        <v>251</v>
      </c>
      <c r="F130" t="s">
        <v>6</v>
      </c>
      <c r="G130">
        <v>20</v>
      </c>
      <c r="H130" s="14">
        <f t="shared" ref="H130:H140" si="7">(B130/60)*G130</f>
        <v>13</v>
      </c>
    </row>
    <row r="131" spans="1:9">
      <c r="A131" t="s">
        <v>31</v>
      </c>
      <c r="B131" s="17">
        <v>47</v>
      </c>
      <c r="C131" t="s">
        <v>245</v>
      </c>
      <c r="D131" t="s">
        <v>249</v>
      </c>
      <c r="E131" t="s">
        <v>270</v>
      </c>
      <c r="F131" t="s">
        <v>6</v>
      </c>
      <c r="G131">
        <v>15</v>
      </c>
      <c r="H131" s="14">
        <f t="shared" si="7"/>
        <v>11.75</v>
      </c>
    </row>
    <row r="132" spans="1:9">
      <c r="A132" t="s">
        <v>13</v>
      </c>
      <c r="B132" s="17">
        <v>47</v>
      </c>
      <c r="C132" t="s">
        <v>245</v>
      </c>
      <c r="D132" t="s">
        <v>249</v>
      </c>
      <c r="E132" t="s">
        <v>271</v>
      </c>
      <c r="F132" t="s">
        <v>6</v>
      </c>
      <c r="G132">
        <v>20</v>
      </c>
      <c r="H132" s="14">
        <f t="shared" si="7"/>
        <v>15.666666666666666</v>
      </c>
    </row>
    <row r="133" spans="1:9">
      <c r="A133" t="s">
        <v>21</v>
      </c>
      <c r="B133" s="17">
        <v>47</v>
      </c>
      <c r="C133" t="s">
        <v>245</v>
      </c>
      <c r="D133" t="s">
        <v>249</v>
      </c>
      <c r="E133" t="s">
        <v>271</v>
      </c>
      <c r="F133" t="s">
        <v>6</v>
      </c>
      <c r="G133">
        <v>20</v>
      </c>
      <c r="H133" s="14">
        <f t="shared" si="7"/>
        <v>15.666666666666666</v>
      </c>
    </row>
    <row r="134" spans="1:9">
      <c r="A134" t="s">
        <v>75</v>
      </c>
      <c r="B134" s="17">
        <v>58</v>
      </c>
      <c r="C134" t="s">
        <v>245</v>
      </c>
      <c r="D134" t="s">
        <v>249</v>
      </c>
      <c r="E134" t="s">
        <v>282</v>
      </c>
      <c r="F134" t="s">
        <v>6</v>
      </c>
      <c r="G134">
        <v>20</v>
      </c>
      <c r="H134" s="14">
        <f t="shared" si="7"/>
        <v>19.333333333333332</v>
      </c>
    </row>
    <row r="135" spans="1:9">
      <c r="A135" t="s">
        <v>153</v>
      </c>
      <c r="B135" s="17">
        <v>58</v>
      </c>
      <c r="C135" t="s">
        <v>245</v>
      </c>
      <c r="D135" t="s">
        <v>249</v>
      </c>
      <c r="E135" t="s">
        <v>282</v>
      </c>
      <c r="F135" t="s">
        <v>6</v>
      </c>
      <c r="G135">
        <v>20</v>
      </c>
      <c r="H135" s="14">
        <f t="shared" si="7"/>
        <v>19.333333333333332</v>
      </c>
    </row>
    <row r="136" spans="1:9">
      <c r="A136" t="s">
        <v>30</v>
      </c>
      <c r="B136" s="17">
        <v>58</v>
      </c>
      <c r="C136" t="s">
        <v>245</v>
      </c>
      <c r="D136" t="s">
        <v>249</v>
      </c>
      <c r="E136" t="s">
        <v>282</v>
      </c>
      <c r="F136" t="s">
        <v>6</v>
      </c>
      <c r="G136">
        <v>20</v>
      </c>
      <c r="H136" s="14">
        <f t="shared" si="7"/>
        <v>19.333333333333332</v>
      </c>
    </row>
    <row r="137" spans="1:9">
      <c r="A137" t="s">
        <v>16</v>
      </c>
      <c r="B137" s="17">
        <v>58</v>
      </c>
      <c r="C137" t="s">
        <v>245</v>
      </c>
      <c r="D137" t="s">
        <v>249</v>
      </c>
      <c r="E137" t="s">
        <v>282</v>
      </c>
      <c r="F137" t="s">
        <v>6</v>
      </c>
      <c r="G137">
        <v>30</v>
      </c>
      <c r="H137" s="14">
        <f t="shared" si="7"/>
        <v>29</v>
      </c>
    </row>
    <row r="138" spans="1:9">
      <c r="A138" t="s">
        <v>32</v>
      </c>
      <c r="B138" s="17">
        <v>69</v>
      </c>
      <c r="C138" t="s">
        <v>245</v>
      </c>
      <c r="D138" t="s">
        <v>249</v>
      </c>
      <c r="E138" t="s">
        <v>293</v>
      </c>
      <c r="F138" t="s">
        <v>6</v>
      </c>
      <c r="G138">
        <v>15</v>
      </c>
      <c r="H138" s="14">
        <f t="shared" si="7"/>
        <v>17.25</v>
      </c>
    </row>
    <row r="139" spans="1:9">
      <c r="A139" t="s">
        <v>70</v>
      </c>
      <c r="B139" s="17">
        <v>77</v>
      </c>
      <c r="C139" t="s">
        <v>245</v>
      </c>
      <c r="D139" t="s">
        <v>249</v>
      </c>
      <c r="E139" t="s">
        <v>297</v>
      </c>
      <c r="F139" t="s">
        <v>6</v>
      </c>
      <c r="G139">
        <v>15</v>
      </c>
      <c r="H139" s="14">
        <f t="shared" si="7"/>
        <v>19.25</v>
      </c>
    </row>
    <row r="140" spans="1:9">
      <c r="A140" t="s">
        <v>34</v>
      </c>
      <c r="B140" s="17">
        <v>105</v>
      </c>
      <c r="C140" t="s">
        <v>245</v>
      </c>
      <c r="D140" t="s">
        <v>249</v>
      </c>
      <c r="E140" t="s">
        <v>302</v>
      </c>
      <c r="F140" t="s">
        <v>6</v>
      </c>
      <c r="G140">
        <v>15</v>
      </c>
      <c r="H140" s="14">
        <f t="shared" si="7"/>
        <v>26.25</v>
      </c>
    </row>
    <row r="141" spans="1:9">
      <c r="A141" t="s">
        <v>154</v>
      </c>
      <c r="B141" s="17">
        <v>27214</v>
      </c>
      <c r="C141" t="s">
        <v>307</v>
      </c>
      <c r="D141" t="s">
        <v>309</v>
      </c>
      <c r="F141" t="s">
        <v>6</v>
      </c>
      <c r="G141">
        <v>20</v>
      </c>
      <c r="H141" s="14">
        <f t="shared" ref="H141:H144" si="8">(B141/((52*37.5)-217.5-60)/60)*G141</f>
        <v>5.4238166417538611</v>
      </c>
      <c r="I141" t="s">
        <v>330</v>
      </c>
    </row>
    <row r="142" spans="1:9">
      <c r="A142" t="s">
        <v>108</v>
      </c>
      <c r="B142" s="17">
        <v>27214</v>
      </c>
      <c r="C142" t="s">
        <v>307</v>
      </c>
      <c r="D142" t="s">
        <v>309</v>
      </c>
      <c r="F142" t="s">
        <v>6</v>
      </c>
      <c r="G142">
        <v>20</v>
      </c>
      <c r="H142" s="14">
        <f t="shared" si="8"/>
        <v>5.4238166417538611</v>
      </c>
      <c r="I142" t="s">
        <v>330</v>
      </c>
    </row>
    <row r="143" spans="1:9">
      <c r="A143" t="s">
        <v>91</v>
      </c>
      <c r="B143" s="17">
        <v>27214</v>
      </c>
      <c r="C143" t="s">
        <v>307</v>
      </c>
      <c r="D143" t="s">
        <v>309</v>
      </c>
      <c r="F143" t="s">
        <v>6</v>
      </c>
      <c r="G143">
        <v>20</v>
      </c>
      <c r="H143" s="14">
        <f t="shared" si="8"/>
        <v>5.4238166417538611</v>
      </c>
      <c r="I143" t="s">
        <v>330</v>
      </c>
    </row>
    <row r="144" spans="1:9">
      <c r="A144" t="s">
        <v>124</v>
      </c>
      <c r="B144" s="17">
        <v>90859</v>
      </c>
      <c r="C144" t="s">
        <v>307</v>
      </c>
      <c r="D144" t="s">
        <v>314</v>
      </c>
      <c r="F144" t="s">
        <v>6</v>
      </c>
      <c r="G144">
        <v>15</v>
      </c>
      <c r="H144" s="14">
        <f t="shared" si="8"/>
        <v>13.581315396113602</v>
      </c>
      <c r="I144" t="s">
        <v>330</v>
      </c>
    </row>
    <row r="145" spans="1:9">
      <c r="A145" t="s">
        <v>52</v>
      </c>
      <c r="B145" s="17">
        <v>58</v>
      </c>
      <c r="C145" t="s">
        <v>245</v>
      </c>
      <c r="D145" t="s">
        <v>249</v>
      </c>
      <c r="E145" t="s">
        <v>282</v>
      </c>
      <c r="F145" s="8" t="s">
        <v>6</v>
      </c>
      <c r="G145">
        <v>20</v>
      </c>
      <c r="H145" s="14">
        <f t="shared" ref="H145:H152" si="9">(B145/60)*G145</f>
        <v>19.333333333333332</v>
      </c>
      <c r="I145" t="s">
        <v>317</v>
      </c>
    </row>
    <row r="146" spans="1:9">
      <c r="A146" t="s">
        <v>127</v>
      </c>
      <c r="B146" s="17">
        <v>68</v>
      </c>
      <c r="C146" t="s">
        <v>245</v>
      </c>
      <c r="D146" t="s">
        <v>246</v>
      </c>
      <c r="E146" t="s">
        <v>289</v>
      </c>
      <c r="F146" s="8" t="s">
        <v>237</v>
      </c>
      <c r="G146">
        <v>20</v>
      </c>
      <c r="H146" s="14">
        <f t="shared" si="9"/>
        <v>22.666666666666664</v>
      </c>
      <c r="I146" t="s">
        <v>317</v>
      </c>
    </row>
    <row r="147" spans="1:9">
      <c r="A147" t="s">
        <v>138</v>
      </c>
      <c r="B147" s="17">
        <v>39</v>
      </c>
      <c r="C147" t="s">
        <v>245</v>
      </c>
      <c r="D147" t="s">
        <v>249</v>
      </c>
      <c r="E147" t="s">
        <v>251</v>
      </c>
      <c r="F147" s="8" t="s">
        <v>235</v>
      </c>
      <c r="G147">
        <v>20</v>
      </c>
      <c r="H147" s="14">
        <f t="shared" si="9"/>
        <v>13</v>
      </c>
      <c r="I147" t="s">
        <v>317</v>
      </c>
    </row>
    <row r="148" spans="1:9">
      <c r="A148" t="s">
        <v>85</v>
      </c>
      <c r="B148" s="17">
        <v>57</v>
      </c>
      <c r="C148" t="s">
        <v>245</v>
      </c>
      <c r="D148" t="s">
        <v>246</v>
      </c>
      <c r="E148" t="s">
        <v>281</v>
      </c>
      <c r="F148" s="8" t="s">
        <v>237</v>
      </c>
      <c r="G148">
        <v>20</v>
      </c>
      <c r="H148" s="14">
        <f t="shared" si="9"/>
        <v>19</v>
      </c>
      <c r="I148" t="s">
        <v>317</v>
      </c>
    </row>
    <row r="149" spans="1:9">
      <c r="A149" t="s">
        <v>68</v>
      </c>
      <c r="B149" s="17">
        <v>58</v>
      </c>
      <c r="C149" t="s">
        <v>245</v>
      </c>
      <c r="D149" t="s">
        <v>249</v>
      </c>
      <c r="E149" t="s">
        <v>283</v>
      </c>
      <c r="F149" s="8" t="s">
        <v>237</v>
      </c>
      <c r="G149">
        <v>15</v>
      </c>
      <c r="H149" s="14">
        <f t="shared" si="9"/>
        <v>14.5</v>
      </c>
      <c r="I149" t="s">
        <v>317</v>
      </c>
    </row>
    <row r="150" spans="1:9">
      <c r="A150" t="s">
        <v>133</v>
      </c>
      <c r="B150" s="17">
        <v>68</v>
      </c>
      <c r="C150" t="s">
        <v>245</v>
      </c>
      <c r="D150" t="s">
        <v>246</v>
      </c>
      <c r="E150" t="s">
        <v>287</v>
      </c>
      <c r="F150" s="8" t="s">
        <v>235</v>
      </c>
      <c r="G150">
        <v>15</v>
      </c>
      <c r="H150" s="14">
        <f t="shared" si="9"/>
        <v>17</v>
      </c>
      <c r="I150" t="s">
        <v>317</v>
      </c>
    </row>
    <row r="151" spans="1:9">
      <c r="A151" t="s">
        <v>88</v>
      </c>
      <c r="B151" s="17">
        <v>68</v>
      </c>
      <c r="C151" t="s">
        <v>245</v>
      </c>
      <c r="D151" t="s">
        <v>246</v>
      </c>
      <c r="E151" t="s">
        <v>288</v>
      </c>
      <c r="F151" s="8" t="s">
        <v>237</v>
      </c>
      <c r="G151">
        <v>15</v>
      </c>
      <c r="H151" s="14">
        <f t="shared" si="9"/>
        <v>17</v>
      </c>
      <c r="I151" t="s">
        <v>317</v>
      </c>
    </row>
    <row r="152" spans="1:9">
      <c r="A152" t="s">
        <v>105</v>
      </c>
      <c r="B152" s="17">
        <v>68</v>
      </c>
      <c r="C152" t="s">
        <v>245</v>
      </c>
      <c r="D152" t="s">
        <v>246</v>
      </c>
      <c r="E152" t="s">
        <v>291</v>
      </c>
      <c r="F152" s="8" t="s">
        <v>237</v>
      </c>
      <c r="G152">
        <v>20</v>
      </c>
      <c r="H152" s="14">
        <f t="shared" si="9"/>
        <v>22.666666666666664</v>
      </c>
      <c r="I152" t="s">
        <v>317</v>
      </c>
    </row>
    <row r="153" spans="1:9">
      <c r="A153" t="s">
        <v>54</v>
      </c>
      <c r="B153" s="17">
        <v>62428</v>
      </c>
      <c r="C153" t="s">
        <v>307</v>
      </c>
      <c r="D153" t="s">
        <v>313</v>
      </c>
      <c r="F153" t="s">
        <v>238</v>
      </c>
      <c r="G153">
        <v>5</v>
      </c>
      <c r="H153" s="14">
        <f>(B153/((52*37.5)-217.5-60)/60)*G153</f>
        <v>3.1105132037867467</v>
      </c>
      <c r="I153" t="s">
        <v>329</v>
      </c>
    </row>
    <row r="154" spans="1:9">
      <c r="A154" t="s">
        <v>82</v>
      </c>
      <c r="B154" s="17">
        <v>48</v>
      </c>
      <c r="C154" t="s">
        <v>245</v>
      </c>
      <c r="D154" t="s">
        <v>272</v>
      </c>
      <c r="E154" t="s">
        <v>273</v>
      </c>
      <c r="F154" t="s">
        <v>234</v>
      </c>
      <c r="G154">
        <v>5</v>
      </c>
      <c r="H154" s="14">
        <f>(B154/60)*G154</f>
        <v>4</v>
      </c>
      <c r="I154" t="s">
        <v>326</v>
      </c>
    </row>
    <row r="155" spans="1:9">
      <c r="A155" t="s">
        <v>123</v>
      </c>
      <c r="B155" s="17">
        <v>48</v>
      </c>
      <c r="C155" t="s">
        <v>245</v>
      </c>
      <c r="D155" t="s">
        <v>272</v>
      </c>
      <c r="E155" t="s">
        <v>274</v>
      </c>
      <c r="F155" t="s">
        <v>234</v>
      </c>
      <c r="G155">
        <v>5</v>
      </c>
      <c r="H155" s="14">
        <f>(B155/60)*G155</f>
        <v>4</v>
      </c>
      <c r="I155" t="s">
        <v>326</v>
      </c>
    </row>
    <row r="156" spans="1:9">
      <c r="A156" t="s">
        <v>143</v>
      </c>
      <c r="B156" s="17">
        <v>48</v>
      </c>
      <c r="C156" t="s">
        <v>245</v>
      </c>
      <c r="D156" t="s">
        <v>272</v>
      </c>
      <c r="E156" t="s">
        <v>273</v>
      </c>
      <c r="F156" t="s">
        <v>234</v>
      </c>
      <c r="G156">
        <v>5</v>
      </c>
      <c r="H156" s="14">
        <f>(B156/60)*G156</f>
        <v>4</v>
      </c>
      <c r="I156" t="s">
        <v>326</v>
      </c>
    </row>
    <row r="157" spans="1:9">
      <c r="A157" t="s">
        <v>114</v>
      </c>
      <c r="B157" s="17">
        <v>48</v>
      </c>
      <c r="C157" t="s">
        <v>245</v>
      </c>
      <c r="D157" t="s">
        <v>272</v>
      </c>
      <c r="E157" t="s">
        <v>273</v>
      </c>
      <c r="F157" t="s">
        <v>234</v>
      </c>
      <c r="G157">
        <v>5</v>
      </c>
      <c r="H157" s="14">
        <f>(B157/60)*G157</f>
        <v>4</v>
      </c>
      <c r="I157" t="s">
        <v>326</v>
      </c>
    </row>
    <row r="158" spans="1:9">
      <c r="A158" t="s">
        <v>150</v>
      </c>
      <c r="B158" s="17">
        <v>48</v>
      </c>
      <c r="C158" t="s">
        <v>245</v>
      </c>
      <c r="D158" t="s">
        <v>272</v>
      </c>
      <c r="E158" t="s">
        <v>273</v>
      </c>
      <c r="F158" t="s">
        <v>234</v>
      </c>
      <c r="G158">
        <v>5</v>
      </c>
      <c r="H158" s="14">
        <f>(B158/60)*G158</f>
        <v>4</v>
      </c>
      <c r="I158" t="s">
        <v>326</v>
      </c>
    </row>
  </sheetData>
  <autoFilter ref="A1:I158" xr:uid="{00000000-0001-0000-0000-000000000000}">
    <sortState xmlns:xlrd2="http://schemas.microsoft.com/office/spreadsheetml/2017/richdata2" ref="A2:I158">
      <sortCondition ref="F1:F158"/>
    </sortState>
  </autoFilter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3DD6-2606-430A-8325-26C37E2D1AD1}">
  <dimension ref="A1:E37"/>
  <sheetViews>
    <sheetView workbookViewId="0">
      <selection activeCell="D2" sqref="D2:D37"/>
    </sheetView>
  </sheetViews>
  <sheetFormatPr defaultRowHeight="15"/>
  <cols>
    <col min="1" max="1" width="23.5703125" customWidth="1"/>
    <col min="2" max="2" width="61" bestFit="1" customWidth="1"/>
    <col min="3" max="3" width="23.5703125" style="14" customWidth="1"/>
    <col min="4" max="4" width="33.85546875" bestFit="1" customWidth="1"/>
  </cols>
  <sheetData>
    <row r="1" spans="1:5">
      <c r="A1" s="1" t="s">
        <v>158</v>
      </c>
      <c r="B1" s="1" t="s">
        <v>159</v>
      </c>
      <c r="C1" s="15" t="s">
        <v>321</v>
      </c>
      <c r="D1" s="1" t="s">
        <v>1</v>
      </c>
      <c r="E1" s="1" t="s">
        <v>232</v>
      </c>
    </row>
    <row r="2" spans="1:5">
      <c r="A2">
        <v>38004446</v>
      </c>
      <c r="B2" t="s">
        <v>160</v>
      </c>
      <c r="C2" s="14">
        <f>VLOOKUP(B2,master!$E$2:$F$157,2,FALSE)</f>
        <v>55.5</v>
      </c>
      <c r="D2" t="s">
        <v>332</v>
      </c>
      <c r="E2" t="s">
        <v>194</v>
      </c>
    </row>
    <row r="3" spans="1:5">
      <c r="A3">
        <v>38004376</v>
      </c>
      <c r="B3" t="s">
        <v>161</v>
      </c>
      <c r="C3" s="14">
        <f>VLOOKUP(B3,master!$E$2:$F$157,2,FALSE)</f>
        <v>74</v>
      </c>
      <c r="D3" t="s">
        <v>235</v>
      </c>
      <c r="E3" t="s">
        <v>193</v>
      </c>
    </row>
    <row r="4" spans="1:5">
      <c r="A4">
        <v>38004185</v>
      </c>
      <c r="B4" t="s">
        <v>162</v>
      </c>
      <c r="C4" s="14">
        <f>VLOOKUP(B4,master!$E$2:$F$157,2,FALSE)</f>
        <v>2.7537942202291981</v>
      </c>
      <c r="D4" t="s">
        <v>233</v>
      </c>
      <c r="E4" t="s">
        <v>194</v>
      </c>
    </row>
    <row r="5" spans="1:5">
      <c r="A5">
        <v>38004154</v>
      </c>
      <c r="B5" t="s">
        <v>163</v>
      </c>
      <c r="C5" s="14">
        <f>VLOOKUP(B5,master!$E$2:$F$157,2,FALSE)</f>
        <v>1.6271569506726458</v>
      </c>
      <c r="D5" t="s">
        <v>233</v>
      </c>
      <c r="E5" t="s">
        <v>194</v>
      </c>
    </row>
    <row r="6" spans="1:5">
      <c r="A6">
        <v>38003781</v>
      </c>
      <c r="B6" t="s">
        <v>164</v>
      </c>
      <c r="C6" s="14">
        <f>VLOOKUP(B6,master!$E$2:$F$157,2,FALSE)</f>
        <v>7.6376183358246141</v>
      </c>
      <c r="D6" t="s">
        <v>233</v>
      </c>
      <c r="E6" t="s">
        <v>194</v>
      </c>
    </row>
    <row r="7" spans="1:5">
      <c r="A7">
        <v>38004370</v>
      </c>
      <c r="B7" t="s">
        <v>165</v>
      </c>
      <c r="C7" s="14">
        <f>VLOOKUP(B7,master!$E$2:$F$157,2,FALSE)</f>
        <v>4.5807673143996013</v>
      </c>
      <c r="D7" t="s">
        <v>235</v>
      </c>
      <c r="E7" t="s">
        <v>193</v>
      </c>
    </row>
    <row r="8" spans="1:5">
      <c r="A8">
        <v>38004512</v>
      </c>
      <c r="B8" t="s">
        <v>97</v>
      </c>
      <c r="C8" s="14">
        <f>VLOOKUP(B8,master!$E$2:$F$157,2,FALSE)</f>
        <v>23.467787742899851</v>
      </c>
      <c r="D8" t="s">
        <v>235</v>
      </c>
      <c r="E8" t="s">
        <v>194</v>
      </c>
    </row>
    <row r="9" spans="1:5">
      <c r="A9">
        <v>0</v>
      </c>
      <c r="B9" t="s">
        <v>166</v>
      </c>
      <c r="C9" s="14">
        <f>VLOOKUP(B9,master!$E$2:$F$157,2,FALSE)</f>
        <v>18.607298231699254</v>
      </c>
      <c r="D9" t="s">
        <v>167</v>
      </c>
      <c r="E9" t="s">
        <v>194</v>
      </c>
    </row>
    <row r="10" spans="1:5">
      <c r="A10">
        <v>38003722</v>
      </c>
      <c r="B10" t="s">
        <v>168</v>
      </c>
      <c r="C10" s="14">
        <f>VLOOKUP(B10,master!$E$2:$F$157,2,FALSE)</f>
        <v>15.666666666666666</v>
      </c>
      <c r="D10" t="s">
        <v>6</v>
      </c>
      <c r="E10" t="s">
        <v>193</v>
      </c>
    </row>
    <row r="11" spans="1:5">
      <c r="A11">
        <v>38003789</v>
      </c>
      <c r="B11" t="s">
        <v>169</v>
      </c>
      <c r="C11" s="14">
        <f>VLOOKUP(B11,master!$E$2:$F$157,2,FALSE)</f>
        <v>3.0618834080717492</v>
      </c>
      <c r="D11" t="s">
        <v>238</v>
      </c>
      <c r="E11" t="s">
        <v>319</v>
      </c>
    </row>
    <row r="12" spans="1:5">
      <c r="A12">
        <v>38004390</v>
      </c>
      <c r="B12" t="s">
        <v>170</v>
      </c>
      <c r="C12" s="14">
        <f>VLOOKUP(B12,master!$E$2:$F$157,2,FALSE)</f>
        <v>29</v>
      </c>
      <c r="D12" t="s">
        <v>6</v>
      </c>
      <c r="E12" t="s">
        <v>193</v>
      </c>
    </row>
    <row r="13" spans="1:5">
      <c r="A13">
        <v>38003716</v>
      </c>
      <c r="B13" t="s">
        <v>171</v>
      </c>
      <c r="C13" s="14">
        <f>VLOOKUP(B13,master!$E$2:$F$157,2,FALSE)</f>
        <v>17.5</v>
      </c>
      <c r="D13" t="s">
        <v>6</v>
      </c>
      <c r="E13" t="s">
        <v>194</v>
      </c>
    </row>
    <row r="14" spans="1:5">
      <c r="A14">
        <v>38004169</v>
      </c>
      <c r="B14" t="s">
        <v>172</v>
      </c>
      <c r="C14" s="14">
        <f>VLOOKUP(B14,master!$E$2:$F$157,2,FALSE)</f>
        <v>0.90397608370702554</v>
      </c>
      <c r="D14" t="s">
        <v>233</v>
      </c>
      <c r="E14" t="s">
        <v>194</v>
      </c>
    </row>
    <row r="15" spans="1:5">
      <c r="A15">
        <v>38003731</v>
      </c>
      <c r="B15" t="s">
        <v>173</v>
      </c>
      <c r="C15" s="14">
        <f>VLOOKUP(B15,master!$E$2:$F$157,2,FALSE)</f>
        <v>20.916666666666668</v>
      </c>
      <c r="D15" t="s">
        <v>6</v>
      </c>
      <c r="E15" t="s">
        <v>194</v>
      </c>
    </row>
    <row r="16" spans="1:5">
      <c r="A16">
        <v>38004145</v>
      </c>
      <c r="B16" t="s">
        <v>23</v>
      </c>
      <c r="C16" s="14">
        <f>VLOOKUP(B16,master!$E$2:$F$157,2,FALSE)</f>
        <v>2.2903836571998006</v>
      </c>
      <c r="D16" t="s">
        <v>235</v>
      </c>
      <c r="E16" t="s">
        <v>193</v>
      </c>
    </row>
    <row r="17" spans="1:5">
      <c r="A17">
        <v>38003819</v>
      </c>
      <c r="B17" t="s">
        <v>174</v>
      </c>
      <c r="C17" s="14">
        <f>VLOOKUP(B17,master!$E$2:$F$157,2,FALSE)</f>
        <v>9.5132536123567526</v>
      </c>
      <c r="D17" t="s">
        <v>235</v>
      </c>
      <c r="E17" t="s">
        <v>194</v>
      </c>
    </row>
    <row r="18" spans="1:5">
      <c r="A18">
        <v>38004487</v>
      </c>
      <c r="B18" t="s">
        <v>175</v>
      </c>
      <c r="C18" s="14">
        <f>VLOOKUP(B18,master!$E$2:$F$157,2,FALSE)</f>
        <v>11.75</v>
      </c>
      <c r="D18" t="s">
        <v>6</v>
      </c>
      <c r="E18" t="s">
        <v>193</v>
      </c>
    </row>
    <row r="19" spans="1:5">
      <c r="A19">
        <v>38003810</v>
      </c>
      <c r="B19" t="s">
        <v>25</v>
      </c>
      <c r="C19" s="14">
        <f>VLOOKUP(B19,master!$E$2:$F$157,2,FALSE)</f>
        <v>14.25</v>
      </c>
      <c r="D19" t="s">
        <v>237</v>
      </c>
      <c r="E19" t="s">
        <v>193</v>
      </c>
    </row>
    <row r="20" spans="1:5">
      <c r="A20">
        <v>38004153</v>
      </c>
      <c r="B20" t="s">
        <v>176</v>
      </c>
      <c r="C20" s="14">
        <f>VLOOKUP(B20,master!$E$2:$F$157,2,FALSE)</f>
        <v>0.30132536123567516</v>
      </c>
      <c r="D20" t="s">
        <v>233</v>
      </c>
      <c r="E20" t="s">
        <v>193</v>
      </c>
    </row>
    <row r="21" spans="1:5">
      <c r="A21">
        <v>38003794</v>
      </c>
      <c r="B21" t="s">
        <v>177</v>
      </c>
      <c r="C21" s="14">
        <f>VLOOKUP(B21,master!$E$2:$F$157,2,FALSE)</f>
        <v>35.944444444444443</v>
      </c>
      <c r="D21" t="s">
        <v>235</v>
      </c>
      <c r="E21" t="s">
        <v>318</v>
      </c>
    </row>
    <row r="22" spans="1:5">
      <c r="A22">
        <v>38004371</v>
      </c>
      <c r="B22" t="s">
        <v>178</v>
      </c>
      <c r="C22" s="14">
        <f>VLOOKUP(B22,master!$E$2:$F$157,2,FALSE)</f>
        <v>2.2903836571998006</v>
      </c>
      <c r="D22" t="s">
        <v>235</v>
      </c>
      <c r="E22" t="s">
        <v>193</v>
      </c>
    </row>
    <row r="23" spans="1:5">
      <c r="A23">
        <v>38004056</v>
      </c>
      <c r="B23" t="s">
        <v>179</v>
      </c>
      <c r="C23" s="14">
        <f>VLOOKUP(B23,master!$E$2:$F$157,2,FALSE)</f>
        <v>14.666666666666666</v>
      </c>
      <c r="D23" t="s">
        <v>237</v>
      </c>
      <c r="E23" t="s">
        <v>193</v>
      </c>
    </row>
    <row r="24" spans="1:5">
      <c r="A24">
        <v>38003696</v>
      </c>
      <c r="B24" t="s">
        <v>62</v>
      </c>
      <c r="C24" s="14">
        <f>VLOOKUP(B24,master!$E$2:$F$157,2,FALSE)</f>
        <v>14.458333333333332</v>
      </c>
      <c r="D24" t="s">
        <v>237</v>
      </c>
      <c r="E24" t="s">
        <v>194</v>
      </c>
    </row>
    <row r="25" spans="1:5">
      <c r="A25">
        <v>38004030</v>
      </c>
      <c r="B25" t="s">
        <v>180</v>
      </c>
      <c r="C25" s="14">
        <f>VLOOKUP(B25,master!$E$2:$F$157,2,FALSE)</f>
        <v>14.666666666666666</v>
      </c>
      <c r="D25" t="s">
        <v>237</v>
      </c>
      <c r="E25" t="s">
        <v>193</v>
      </c>
    </row>
    <row r="26" spans="1:5">
      <c r="A26">
        <v>38004445</v>
      </c>
      <c r="B26" t="s">
        <v>181</v>
      </c>
      <c r="C26" s="14">
        <f>VLOOKUP(B26,master!$E$2:$F$157,2,FALSE)</f>
        <v>5.4238166417538611</v>
      </c>
      <c r="D26" t="s">
        <v>333</v>
      </c>
      <c r="E26" t="s">
        <v>193</v>
      </c>
    </row>
    <row r="27" spans="1:5">
      <c r="A27">
        <v>38003627</v>
      </c>
      <c r="B27" t="s">
        <v>182</v>
      </c>
      <c r="C27" s="14">
        <f>VLOOKUP(B27,master!$E$2:$F$157,2,FALSE)</f>
        <v>14.666666666666666</v>
      </c>
      <c r="D27" t="s">
        <v>235</v>
      </c>
      <c r="E27" t="s">
        <v>193</v>
      </c>
    </row>
    <row r="28" spans="1:5">
      <c r="A28">
        <v>38003690</v>
      </c>
      <c r="B28" t="s">
        <v>183</v>
      </c>
      <c r="C28" s="14">
        <f>VLOOKUP(B28,master!$E$2:$F$157,2,FALSE)</f>
        <v>14.666666666666666</v>
      </c>
      <c r="D28" t="s">
        <v>237</v>
      </c>
      <c r="E28" t="s">
        <v>193</v>
      </c>
    </row>
    <row r="29" spans="1:5">
      <c r="A29">
        <v>38004413</v>
      </c>
      <c r="B29" t="s">
        <v>184</v>
      </c>
      <c r="C29" s="14">
        <f>VLOOKUP(B29,master!$E$2:$F$157,2,FALSE)</f>
        <v>19.333333333333332</v>
      </c>
      <c r="D29" t="s">
        <v>6</v>
      </c>
      <c r="E29" t="s">
        <v>193</v>
      </c>
    </row>
    <row r="30" spans="1:5">
      <c r="A30">
        <v>38003807</v>
      </c>
      <c r="B30" t="s">
        <v>119</v>
      </c>
      <c r="C30" s="14">
        <f>VLOOKUP(B30,master!$E$2:$F$157,2,FALSE)</f>
        <v>19.333333333333332</v>
      </c>
      <c r="D30" t="s">
        <v>237</v>
      </c>
      <c r="E30" t="s">
        <v>193</v>
      </c>
    </row>
    <row r="31" spans="1:5">
      <c r="A31">
        <v>38003659</v>
      </c>
      <c r="B31" t="s">
        <v>185</v>
      </c>
      <c r="C31" s="14">
        <f>VLOOKUP(B31,master!$E$2:$F$157,2,FALSE)</f>
        <v>19</v>
      </c>
      <c r="D31" t="s">
        <v>237</v>
      </c>
      <c r="E31" t="s">
        <v>193</v>
      </c>
    </row>
    <row r="32" spans="1:5">
      <c r="A32">
        <v>38004176</v>
      </c>
      <c r="B32" t="s">
        <v>186</v>
      </c>
      <c r="C32" s="14">
        <f>VLOOKUP(B32,master!$E$2:$F$157,2,FALSE)</f>
        <v>14.666666666666666</v>
      </c>
      <c r="D32" t="s">
        <v>237</v>
      </c>
      <c r="E32" t="s">
        <v>193</v>
      </c>
    </row>
    <row r="33" spans="1:5">
      <c r="A33">
        <v>38003638</v>
      </c>
      <c r="B33" t="s">
        <v>187</v>
      </c>
      <c r="C33" s="14">
        <f>VLOOKUP(B33,master!$E$2:$F$157,2,FALSE)</f>
        <v>22.666666666666664</v>
      </c>
      <c r="D33" t="s">
        <v>235</v>
      </c>
      <c r="E33" t="s">
        <v>193</v>
      </c>
    </row>
    <row r="34" spans="1:5">
      <c r="A34">
        <v>38003760</v>
      </c>
      <c r="B34" t="s">
        <v>188</v>
      </c>
      <c r="C34" s="14">
        <f>VLOOKUP(B34,master!$E$2:$F$157,2,FALSE)</f>
        <v>13</v>
      </c>
      <c r="D34" t="s">
        <v>235</v>
      </c>
      <c r="E34" t="s">
        <v>193</v>
      </c>
    </row>
    <row r="35" spans="1:5">
      <c r="A35">
        <v>38003625</v>
      </c>
      <c r="B35" t="s">
        <v>189</v>
      </c>
      <c r="C35" s="14">
        <f>VLOOKUP(B35,master!$E$2:$F$157,2,FALSE)</f>
        <v>17</v>
      </c>
      <c r="D35" t="s">
        <v>235</v>
      </c>
      <c r="E35" t="s">
        <v>193</v>
      </c>
    </row>
    <row r="36" spans="1:5">
      <c r="A36">
        <v>38004499</v>
      </c>
      <c r="B36" t="s">
        <v>114</v>
      </c>
      <c r="C36" s="14">
        <f>VLOOKUP(B36,master!$E$2:$F$157,2,FALSE)</f>
        <v>4</v>
      </c>
      <c r="D36" t="s">
        <v>234</v>
      </c>
      <c r="E36" t="s">
        <v>193</v>
      </c>
    </row>
    <row r="37" spans="1:5">
      <c r="A37">
        <v>38003648</v>
      </c>
      <c r="B37" t="s">
        <v>190</v>
      </c>
      <c r="C37" s="14">
        <f>VLOOKUP(B37,master!$E$2:$F$157,2,FALSE)</f>
        <v>0.35506726457399101</v>
      </c>
      <c r="D37" t="s">
        <v>233</v>
      </c>
      <c r="E37" t="s">
        <v>193</v>
      </c>
    </row>
  </sheetData>
  <autoFilter ref="A1:D37" xr:uid="{5FF83DD6-2606-430A-8325-26C37E2D1AD1}"/>
  <conditionalFormatting sqref="A1:A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1928-6488-4AD1-B22F-BC295F5F938E}">
  <dimension ref="A1:I157"/>
  <sheetViews>
    <sheetView zoomScale="120" zoomScaleNormal="120" workbookViewId="0">
      <selection activeCell="B158" sqref="B158"/>
    </sheetView>
  </sheetViews>
  <sheetFormatPr defaultRowHeight="15"/>
  <cols>
    <col min="1" max="1" width="45.28515625" customWidth="1"/>
    <col min="2" max="3" width="22.85546875" style="10" customWidth="1"/>
    <col min="4" max="4" width="20.140625" customWidth="1"/>
    <col min="5" max="5" width="39" style="4" customWidth="1"/>
    <col min="6" max="7" width="24" style="10" customWidth="1"/>
    <col min="8" max="8" width="19.7109375" customWidth="1"/>
  </cols>
  <sheetData>
    <row r="1" spans="1:9">
      <c r="A1" s="1" t="s">
        <v>322</v>
      </c>
      <c r="B1" s="9" t="s">
        <v>191</v>
      </c>
      <c r="C1" s="9" t="s">
        <v>315</v>
      </c>
      <c r="D1" s="1" t="s">
        <v>323</v>
      </c>
      <c r="E1" s="3" t="s">
        <v>324</v>
      </c>
      <c r="F1" s="9" t="s">
        <v>192</v>
      </c>
      <c r="G1" s="9" t="s">
        <v>316</v>
      </c>
      <c r="H1" s="7" t="s">
        <v>0</v>
      </c>
    </row>
    <row r="2" spans="1:9">
      <c r="A2" t="s">
        <v>68</v>
      </c>
      <c r="B2" s="10">
        <f>VLOOKUP(A2,source_cprd_aurum!$A$2:$H$158,8,FALSE)</f>
        <v>14.5</v>
      </c>
      <c r="C2" s="10" t="str">
        <f>VLOOKUP(A2,source_cprd_aurum!$A$2:$F$158,6,FALSE)</f>
        <v>AHP</v>
      </c>
      <c r="D2">
        <v>38003794</v>
      </c>
      <c r="E2" t="s">
        <v>177</v>
      </c>
      <c r="F2" s="10">
        <v>35.944444444444443</v>
      </c>
      <c r="G2" s="10" t="s">
        <v>235</v>
      </c>
      <c r="H2" t="s">
        <v>318</v>
      </c>
      <c r="I2" s="2">
        <f t="shared" ref="I2:I33" si="0">B2-F2</f>
        <v>-21.444444444444443</v>
      </c>
    </row>
    <row r="3" spans="1:9">
      <c r="A3" t="s">
        <v>10</v>
      </c>
      <c r="B3" s="10">
        <f>VLOOKUP(A3,source_cprd_aurum!$A$2:$H$158,8,FALSE)</f>
        <v>2.2903836571998006</v>
      </c>
      <c r="C3" s="10" t="str">
        <f>VLOOKUP(A3,source_cprd_aurum!$A$2:$F$158,6,FALSE)</f>
        <v>Non-registered other</v>
      </c>
      <c r="D3">
        <v>38004512</v>
      </c>
      <c r="E3" t="s">
        <v>97</v>
      </c>
      <c r="F3" s="10">
        <v>23.467787742899851</v>
      </c>
      <c r="G3" s="10" t="s">
        <v>235</v>
      </c>
      <c r="H3" t="s">
        <v>194</v>
      </c>
      <c r="I3" s="2">
        <f t="shared" si="0"/>
        <v>-21.177404085700051</v>
      </c>
    </row>
    <row r="4" spans="1:9">
      <c r="A4" t="s">
        <v>97</v>
      </c>
      <c r="B4" s="10">
        <f>VLOOKUP(A4,source_cprd_aurum!$A$2:$H$158,8,FALSE)</f>
        <v>4.5807673143996013</v>
      </c>
      <c r="C4" s="10" t="str">
        <f>VLOOKUP(A4,source_cprd_aurum!$A$2:$F$158,6,FALSE)</f>
        <v>Non-registered other</v>
      </c>
      <c r="D4">
        <v>38004512</v>
      </c>
      <c r="E4" t="s">
        <v>97</v>
      </c>
      <c r="F4" s="10">
        <v>23.467787742899851</v>
      </c>
      <c r="G4" s="10" t="s">
        <v>235</v>
      </c>
      <c r="H4" t="s">
        <v>194</v>
      </c>
      <c r="I4" s="2">
        <f t="shared" si="0"/>
        <v>-18.88702042850025</v>
      </c>
    </row>
    <row r="5" spans="1:9">
      <c r="A5" t="s">
        <v>35</v>
      </c>
      <c r="B5" s="10">
        <f>VLOOKUP(A5,source_cprd_aurum!$A$2:$H$158,8,FALSE)</f>
        <v>0.30132536123567516</v>
      </c>
      <c r="C5" s="10" t="str">
        <f>VLOOKUP(A5,source_cprd_aurum!$A$2:$F$158,6,FALSE)</f>
        <v>Admin</v>
      </c>
      <c r="D5">
        <v>0</v>
      </c>
      <c r="E5" t="s">
        <v>166</v>
      </c>
      <c r="F5" s="10">
        <v>18.607298231699254</v>
      </c>
      <c r="G5" s="10" t="s">
        <v>167</v>
      </c>
      <c r="H5" t="s">
        <v>194</v>
      </c>
      <c r="I5" s="2">
        <f t="shared" si="0"/>
        <v>-18.305972870463577</v>
      </c>
    </row>
    <row r="6" spans="1:9">
      <c r="A6" t="s">
        <v>46</v>
      </c>
      <c r="B6" s="10">
        <f>VLOOKUP(A6,source_cprd_aurum!$A$2:$H$158,8,FALSE)</f>
        <v>0.30132536123567516</v>
      </c>
      <c r="C6" s="10" t="str">
        <f>VLOOKUP(A6,source_cprd_aurum!$A$2:$F$158,6,FALSE)</f>
        <v>Admin</v>
      </c>
      <c r="D6">
        <v>0</v>
      </c>
      <c r="E6" t="s">
        <v>166</v>
      </c>
      <c r="F6" s="10">
        <v>18.607298231699254</v>
      </c>
      <c r="G6" s="10" t="s">
        <v>167</v>
      </c>
      <c r="H6" t="s">
        <v>194</v>
      </c>
      <c r="I6" s="2">
        <f t="shared" si="0"/>
        <v>-18.305972870463577</v>
      </c>
    </row>
    <row r="7" spans="1:9">
      <c r="A7" t="s">
        <v>45</v>
      </c>
      <c r="B7" s="10">
        <f>VLOOKUP(A7,source_cprd_aurum!$A$2:$H$158,8,FALSE)</f>
        <v>0.30132536123567516</v>
      </c>
      <c r="C7" s="10" t="str">
        <f>VLOOKUP(A7,source_cprd_aurum!$A$2:$F$158,6,FALSE)</f>
        <v>Admin</v>
      </c>
      <c r="D7">
        <v>0</v>
      </c>
      <c r="E7" t="s">
        <v>166</v>
      </c>
      <c r="F7" s="10">
        <v>18.607298231699254</v>
      </c>
      <c r="G7" s="10" t="s">
        <v>167</v>
      </c>
      <c r="H7" t="s">
        <v>194</v>
      </c>
      <c r="I7" s="2">
        <f t="shared" si="0"/>
        <v>-18.305972870463577</v>
      </c>
    </row>
    <row r="8" spans="1:9">
      <c r="A8" t="s">
        <v>36</v>
      </c>
      <c r="B8" s="10">
        <f>VLOOKUP(A8,source_cprd_aurum!$A$2:$H$158,8,FALSE)</f>
        <v>0.30132536123567516</v>
      </c>
      <c r="C8" s="10" t="str">
        <f>VLOOKUP(A8,source_cprd_aurum!$A$2:$F$158,6,FALSE)</f>
        <v>Admin</v>
      </c>
      <c r="D8">
        <v>0</v>
      </c>
      <c r="E8" t="s">
        <v>166</v>
      </c>
      <c r="F8" s="10">
        <v>18.607298231699254</v>
      </c>
      <c r="G8" s="10" t="s">
        <v>167</v>
      </c>
      <c r="H8" t="s">
        <v>194</v>
      </c>
      <c r="I8" s="2">
        <f t="shared" si="0"/>
        <v>-18.305972870463577</v>
      </c>
    </row>
    <row r="9" spans="1:9">
      <c r="A9" t="s">
        <v>81</v>
      </c>
      <c r="B9" s="10">
        <f>VLOOKUP(A9,source_cprd_aurum!$A$2:$H$158,8,FALSE)</f>
        <v>0.30132536123567516</v>
      </c>
      <c r="C9" s="10" t="str">
        <f>VLOOKUP(A9,source_cprd_aurum!$A$2:$F$158,6,FALSE)</f>
        <v>Admin</v>
      </c>
      <c r="D9">
        <v>0</v>
      </c>
      <c r="E9" t="s">
        <v>166</v>
      </c>
      <c r="F9" s="10">
        <v>18.607298231699254</v>
      </c>
      <c r="G9" s="10" t="s">
        <v>167</v>
      </c>
      <c r="H9" t="s">
        <v>194</v>
      </c>
      <c r="I9" s="2">
        <f t="shared" si="0"/>
        <v>-18.305972870463577</v>
      </c>
    </row>
    <row r="10" spans="1:9">
      <c r="A10" t="s">
        <v>53</v>
      </c>
      <c r="B10" s="10">
        <f>VLOOKUP(A10,source_cprd_aurum!$A$2:$H$158,8,FALSE)</f>
        <v>0.30132536123567516</v>
      </c>
      <c r="C10" s="10" t="str">
        <f>VLOOKUP(A10,source_cprd_aurum!$A$2:$F$158,6,FALSE)</f>
        <v>Admin</v>
      </c>
      <c r="D10">
        <v>0</v>
      </c>
      <c r="E10" t="s">
        <v>166</v>
      </c>
      <c r="F10" s="10">
        <v>18.607298231699254</v>
      </c>
      <c r="G10" s="10" t="s">
        <v>167</v>
      </c>
      <c r="H10" t="s">
        <v>194</v>
      </c>
      <c r="I10" s="2">
        <f t="shared" si="0"/>
        <v>-18.305972870463577</v>
      </c>
    </row>
    <row r="11" spans="1:9">
      <c r="A11" t="s">
        <v>56</v>
      </c>
      <c r="B11" s="10">
        <f>VLOOKUP(A11,source_cprd_aurum!$A$2:$H$158,8,FALSE)</f>
        <v>0.30132536123567516</v>
      </c>
      <c r="C11" s="10" t="str">
        <f>VLOOKUP(A11,source_cprd_aurum!$A$2:$F$158,6,FALSE)</f>
        <v>Admin</v>
      </c>
      <c r="D11">
        <v>0</v>
      </c>
      <c r="E11" t="s">
        <v>166</v>
      </c>
      <c r="F11" s="10">
        <v>18.607298231699254</v>
      </c>
      <c r="G11" s="10" t="s">
        <v>167</v>
      </c>
      <c r="H11" t="s">
        <v>194</v>
      </c>
      <c r="I11" s="2">
        <f t="shared" si="0"/>
        <v>-18.305972870463577</v>
      </c>
    </row>
    <row r="12" spans="1:9">
      <c r="A12" t="s">
        <v>64</v>
      </c>
      <c r="B12" s="10">
        <f>VLOOKUP(A12,source_cprd_aurum!$A$2:$H$158,8,FALSE)</f>
        <v>0.30132536123567516</v>
      </c>
      <c r="C12" s="10" t="str">
        <f>VLOOKUP(A12,source_cprd_aurum!$A$2:$F$158,6,FALSE)</f>
        <v>Admin</v>
      </c>
      <c r="D12">
        <v>0</v>
      </c>
      <c r="E12" t="s">
        <v>166</v>
      </c>
      <c r="F12" s="10">
        <v>18.607298231699254</v>
      </c>
      <c r="G12" s="10" t="s">
        <v>167</v>
      </c>
      <c r="H12" t="s">
        <v>194</v>
      </c>
      <c r="I12" s="2">
        <f t="shared" si="0"/>
        <v>-18.305972870463577</v>
      </c>
    </row>
    <row r="13" spans="1:9">
      <c r="A13" t="s">
        <v>60</v>
      </c>
      <c r="B13" s="10">
        <f>VLOOKUP(A13,source_cprd_aurum!$A$2:$H$158,8,FALSE)</f>
        <v>0.30132536123567516</v>
      </c>
      <c r="C13" s="10" t="str">
        <f>VLOOKUP(A13,source_cprd_aurum!$A$2:$F$158,6,FALSE)</f>
        <v>Admin</v>
      </c>
      <c r="D13">
        <v>0</v>
      </c>
      <c r="E13" t="s">
        <v>166</v>
      </c>
      <c r="F13" s="10">
        <v>18.607298231699254</v>
      </c>
      <c r="G13" s="10" t="s">
        <v>167</v>
      </c>
      <c r="H13" t="s">
        <v>194</v>
      </c>
      <c r="I13" s="2">
        <f t="shared" si="0"/>
        <v>-18.305972870463577</v>
      </c>
    </row>
    <row r="14" spans="1:9">
      <c r="A14" t="s">
        <v>42</v>
      </c>
      <c r="B14" s="10">
        <f>VLOOKUP(A14,source_cprd_aurum!$A$2:$H$158,8,FALSE)</f>
        <v>0.30132536123567516</v>
      </c>
      <c r="C14" s="10" t="str">
        <f>VLOOKUP(A14,source_cprd_aurum!$A$2:$F$158,6,FALSE)</f>
        <v>Admin</v>
      </c>
      <c r="D14">
        <v>0</v>
      </c>
      <c r="E14" t="s">
        <v>166</v>
      </c>
      <c r="F14" s="10">
        <v>18.607298231699254</v>
      </c>
      <c r="G14" s="10" t="s">
        <v>167</v>
      </c>
      <c r="H14" t="s">
        <v>194</v>
      </c>
      <c r="I14" s="2">
        <f t="shared" si="0"/>
        <v>-18.305972870463577</v>
      </c>
    </row>
    <row r="15" spans="1:9">
      <c r="A15" t="s">
        <v>147</v>
      </c>
      <c r="B15" s="10">
        <f>VLOOKUP(A15,source_cprd_aurum!$A$2:$H$158,8,FALSE)</f>
        <v>0.30132536123567516</v>
      </c>
      <c r="C15" s="10" t="str">
        <f>VLOOKUP(A15,source_cprd_aurum!$A$2:$F$158,6,FALSE)</f>
        <v>Admin</v>
      </c>
      <c r="D15">
        <v>0</v>
      </c>
      <c r="E15" t="s">
        <v>166</v>
      </c>
      <c r="F15" s="10">
        <v>18.607298231699254</v>
      </c>
      <c r="G15" s="10" t="s">
        <v>167</v>
      </c>
      <c r="H15" t="s">
        <v>194</v>
      </c>
      <c r="I15" s="2">
        <f t="shared" si="0"/>
        <v>-18.305972870463577</v>
      </c>
    </row>
    <row r="16" spans="1:9">
      <c r="A16" t="s">
        <v>93</v>
      </c>
      <c r="B16" s="10">
        <f>VLOOKUP(A16,source_cprd_aurum!$A$2:$H$158,8,FALSE)</f>
        <v>0.30132536123567516</v>
      </c>
      <c r="C16" s="10" t="str">
        <f>VLOOKUP(A16,source_cprd_aurum!$A$2:$F$158,6,FALSE)</f>
        <v>Admin</v>
      </c>
      <c r="D16">
        <v>0</v>
      </c>
      <c r="E16" t="s">
        <v>166</v>
      </c>
      <c r="F16" s="10">
        <v>18.607298231699254</v>
      </c>
      <c r="G16" s="10" t="s">
        <v>167</v>
      </c>
      <c r="H16" t="s">
        <v>194</v>
      </c>
      <c r="I16" s="2">
        <f t="shared" si="0"/>
        <v>-18.305972870463577</v>
      </c>
    </row>
    <row r="17" spans="1:9">
      <c r="A17" t="s">
        <v>120</v>
      </c>
      <c r="B17" s="10">
        <f>VLOOKUP(A17,source_cprd_aurum!$A$2:$H$158,8,FALSE)</f>
        <v>0.30132536123567516</v>
      </c>
      <c r="C17" s="10" t="str">
        <f>VLOOKUP(A17,source_cprd_aurum!$A$2:$F$158,6,FALSE)</f>
        <v>Admin</v>
      </c>
      <c r="D17">
        <v>0</v>
      </c>
      <c r="E17" t="s">
        <v>166</v>
      </c>
      <c r="F17" s="10">
        <v>18.607298231699254</v>
      </c>
      <c r="G17" s="10" t="s">
        <v>167</v>
      </c>
      <c r="H17" t="s">
        <v>194</v>
      </c>
      <c r="I17" s="2">
        <f t="shared" si="0"/>
        <v>-18.305972870463577</v>
      </c>
    </row>
    <row r="18" spans="1:9">
      <c r="A18" t="s">
        <v>99</v>
      </c>
      <c r="B18" s="10">
        <f>VLOOKUP(A18,source_cprd_aurum!$A$2:$H$158,8,FALSE)</f>
        <v>0.60265072247135032</v>
      </c>
      <c r="C18" s="10" t="str">
        <f>VLOOKUP(A18,source_cprd_aurum!$A$2:$F$158,6,FALSE)</f>
        <v>Admin</v>
      </c>
      <c r="D18">
        <v>0</v>
      </c>
      <c r="E18" t="s">
        <v>166</v>
      </c>
      <c r="F18" s="10">
        <v>18.607298231699254</v>
      </c>
      <c r="G18" s="10" t="s">
        <v>167</v>
      </c>
      <c r="H18" t="s">
        <v>194</v>
      </c>
      <c r="I18" s="2">
        <f t="shared" si="0"/>
        <v>-18.004647509227905</v>
      </c>
    </row>
    <row r="19" spans="1:9">
      <c r="A19" t="s">
        <v>89</v>
      </c>
      <c r="B19" s="10">
        <f>VLOOKUP(A19,source_cprd_aurum!$A$2:$H$158,8,FALSE)</f>
        <v>0.60265072247135032</v>
      </c>
      <c r="C19" s="10" t="str">
        <f>VLOOKUP(A19,source_cprd_aurum!$A$2:$F$158,6,FALSE)</f>
        <v>Non-registered other</v>
      </c>
      <c r="D19">
        <v>0</v>
      </c>
      <c r="E19" t="s">
        <v>166</v>
      </c>
      <c r="F19" s="10">
        <v>18.607298231699254</v>
      </c>
      <c r="G19" s="10" t="s">
        <v>167</v>
      </c>
      <c r="H19" t="s">
        <v>194</v>
      </c>
      <c r="I19" s="2">
        <f t="shared" si="0"/>
        <v>-18.004647509227905</v>
      </c>
    </row>
    <row r="20" spans="1:9">
      <c r="A20" t="s">
        <v>125</v>
      </c>
      <c r="B20" s="10">
        <f>VLOOKUP(A20,source_cprd_aurum!$A$2:$H$158,8,FALSE)</f>
        <v>0.62210264075734933</v>
      </c>
      <c r="C20" s="10" t="str">
        <f>VLOOKUP(A20,source_cprd_aurum!$A$2:$F$158,6,FALSE)</f>
        <v>Admin</v>
      </c>
      <c r="D20">
        <v>0</v>
      </c>
      <c r="E20" t="s">
        <v>166</v>
      </c>
      <c r="F20" s="10">
        <v>18.607298231699254</v>
      </c>
      <c r="G20" s="10" t="s">
        <v>167</v>
      </c>
      <c r="H20" t="s">
        <v>194</v>
      </c>
      <c r="I20" s="2">
        <f t="shared" si="0"/>
        <v>-17.985195590941906</v>
      </c>
    </row>
    <row r="21" spans="1:9">
      <c r="A21" t="s">
        <v>87</v>
      </c>
      <c r="B21" s="10">
        <f>VLOOKUP(A21,source_cprd_aurum!$A$2:$H$158,8,FALSE)</f>
        <v>0.90542102640757349</v>
      </c>
      <c r="C21" s="10" t="str">
        <f>VLOOKUP(A21,source_cprd_aurum!$A$2:$F$158,6,FALSE)</f>
        <v>Admin</v>
      </c>
      <c r="D21">
        <v>0</v>
      </c>
      <c r="E21" t="s">
        <v>166</v>
      </c>
      <c r="F21" s="10">
        <v>18.607298231699254</v>
      </c>
      <c r="G21" s="10" t="s">
        <v>167</v>
      </c>
      <c r="H21" t="s">
        <v>194</v>
      </c>
      <c r="I21" s="2">
        <f t="shared" si="0"/>
        <v>-17.70187720529168</v>
      </c>
    </row>
    <row r="22" spans="1:9">
      <c r="A22" t="s">
        <v>157</v>
      </c>
      <c r="B22" s="10">
        <f>VLOOKUP(A22,source_cprd_aurum!$A$2:$H$158,8,FALSE)</f>
        <v>1.3559541604384653</v>
      </c>
      <c r="C22" s="10" t="str">
        <f>VLOOKUP(A22,source_cprd_aurum!$A$2:$F$158,6,FALSE)</f>
        <v>Non-registered other</v>
      </c>
      <c r="D22">
        <v>0</v>
      </c>
      <c r="E22" t="s">
        <v>166</v>
      </c>
      <c r="F22" s="10">
        <v>18.607298231699254</v>
      </c>
      <c r="G22" s="10" t="s">
        <v>167</v>
      </c>
      <c r="H22" t="s">
        <v>194</v>
      </c>
      <c r="I22" s="2">
        <f t="shared" si="0"/>
        <v>-17.251344071260789</v>
      </c>
    </row>
    <row r="23" spans="1:9">
      <c r="A23" t="s">
        <v>67</v>
      </c>
      <c r="B23" s="10">
        <f>VLOOKUP(A23,source_cprd_aurum!$A$2:$H$158,8,FALSE)</f>
        <v>1.5066268061783759</v>
      </c>
      <c r="C23" s="10" t="str">
        <f>VLOOKUP(A23,source_cprd_aurum!$A$2:$F$158,6,FALSE)</f>
        <v>Non-registered other</v>
      </c>
      <c r="D23">
        <v>0</v>
      </c>
      <c r="E23" t="s">
        <v>166</v>
      </c>
      <c r="F23" s="10">
        <v>18.607298231699254</v>
      </c>
      <c r="G23" s="10" t="s">
        <v>167</v>
      </c>
      <c r="H23" t="s">
        <v>194</v>
      </c>
      <c r="I23" s="2">
        <f t="shared" si="0"/>
        <v>-17.100671425520879</v>
      </c>
    </row>
    <row r="24" spans="1:9">
      <c r="A24" t="s">
        <v>146</v>
      </c>
      <c r="B24" s="10">
        <f>VLOOKUP(A24,source_cprd_aurum!$A$2:$H$158,8,FALSE)</f>
        <v>1.5066268061783759</v>
      </c>
      <c r="C24" s="10" t="str">
        <f>VLOOKUP(A24,source_cprd_aurum!$A$2:$F$158,6,FALSE)</f>
        <v>Non-registered other</v>
      </c>
      <c r="D24">
        <v>0</v>
      </c>
      <c r="E24" t="s">
        <v>166</v>
      </c>
      <c r="F24" s="10">
        <v>18.607298231699254</v>
      </c>
      <c r="G24" s="10" t="s">
        <v>167</v>
      </c>
      <c r="H24" t="s">
        <v>194</v>
      </c>
      <c r="I24" s="2">
        <f t="shared" si="0"/>
        <v>-17.100671425520879</v>
      </c>
    </row>
    <row r="25" spans="1:9">
      <c r="A25" t="s">
        <v>152</v>
      </c>
      <c r="B25" s="10">
        <f>VLOOKUP(A25,source_cprd_aurum!$A$2:$H$158,8,FALSE)</f>
        <v>1.7937219730941707</v>
      </c>
      <c r="C25" s="10" t="str">
        <f>VLOOKUP(A25,source_cprd_aurum!$A$2:$F$158,6,FALSE)</f>
        <v>Non-registered other</v>
      </c>
      <c r="D25">
        <v>0</v>
      </c>
      <c r="E25" t="s">
        <v>166</v>
      </c>
      <c r="F25" s="10">
        <v>18.607298231699254</v>
      </c>
      <c r="G25" s="10" t="s">
        <v>167</v>
      </c>
      <c r="H25" t="s">
        <v>194</v>
      </c>
      <c r="I25" s="2">
        <f t="shared" si="0"/>
        <v>-16.813576258605082</v>
      </c>
    </row>
    <row r="26" spans="1:9">
      <c r="A26" t="s">
        <v>52</v>
      </c>
      <c r="B26" s="10">
        <f>VLOOKUP(A26,source_cprd_aurum!$A$2:$H$158,8,FALSE)</f>
        <v>19.333333333333332</v>
      </c>
      <c r="C26" s="10" t="str">
        <f>VLOOKUP(A26,source_cprd_aurum!$A$2:$F$158,6,FALSE)</f>
        <v>Nurse</v>
      </c>
      <c r="D26">
        <v>38003794</v>
      </c>
      <c r="E26" t="s">
        <v>177</v>
      </c>
      <c r="F26" s="10">
        <v>35.944444444444443</v>
      </c>
      <c r="G26" s="10" t="s">
        <v>235</v>
      </c>
      <c r="H26" t="s">
        <v>318</v>
      </c>
      <c r="I26" s="2">
        <f t="shared" si="0"/>
        <v>-16.611111111111111</v>
      </c>
    </row>
    <row r="27" spans="1:9">
      <c r="A27" t="s">
        <v>50</v>
      </c>
      <c r="B27" s="10">
        <f>VLOOKUP(A27,source_cprd_aurum!$A$2:$H$158,8,FALSE)</f>
        <v>3.0132536123567517</v>
      </c>
      <c r="C27" s="10" t="str">
        <f>VLOOKUP(A27,source_cprd_aurum!$A$2:$F$158,6,FALSE)</f>
        <v>Admin</v>
      </c>
      <c r="D27">
        <v>0</v>
      </c>
      <c r="E27" t="s">
        <v>166</v>
      </c>
      <c r="F27" s="10">
        <v>18.607298231699254</v>
      </c>
      <c r="G27" s="10" t="s">
        <v>167</v>
      </c>
      <c r="H27" t="s">
        <v>194</v>
      </c>
      <c r="I27" s="2">
        <f t="shared" si="0"/>
        <v>-15.594044619342501</v>
      </c>
    </row>
    <row r="28" spans="1:9">
      <c r="A28" t="s">
        <v>51</v>
      </c>
      <c r="B28" s="10">
        <f>VLOOKUP(A28,source_cprd_aurum!$A$2:$H$158,8,FALSE)</f>
        <v>3.0132536123567517</v>
      </c>
      <c r="C28" s="10" t="str">
        <f>VLOOKUP(A28,source_cprd_aurum!$A$2:$F$158,6,FALSE)</f>
        <v>Non-registered other</v>
      </c>
      <c r="D28">
        <v>0</v>
      </c>
      <c r="E28" t="s">
        <v>166</v>
      </c>
      <c r="F28" s="10">
        <v>18.607298231699254</v>
      </c>
      <c r="G28" s="10" t="s">
        <v>167</v>
      </c>
      <c r="H28" t="s">
        <v>194</v>
      </c>
      <c r="I28" s="2">
        <f t="shared" si="0"/>
        <v>-15.594044619342501</v>
      </c>
    </row>
    <row r="29" spans="1:9">
      <c r="A29" t="s">
        <v>103</v>
      </c>
      <c r="B29" s="10">
        <f>VLOOKUP(A29,source_cprd_aurum!$A$2:$H$158,8,FALSE)</f>
        <v>3.1105132037867467</v>
      </c>
      <c r="C29" s="10" t="str">
        <f>VLOOKUP(A29,source_cprd_aurum!$A$2:$F$158,6,FALSE)</f>
        <v>Medic non-GP</v>
      </c>
      <c r="D29">
        <v>0</v>
      </c>
      <c r="E29" t="s">
        <v>166</v>
      </c>
      <c r="F29" s="10">
        <v>18.607298231699254</v>
      </c>
      <c r="G29" s="10" t="s">
        <v>167</v>
      </c>
      <c r="H29" t="s">
        <v>194</v>
      </c>
      <c r="I29" s="2">
        <f t="shared" si="0"/>
        <v>-15.496785027912507</v>
      </c>
    </row>
    <row r="30" spans="1:9">
      <c r="A30" t="s">
        <v>150</v>
      </c>
      <c r="B30" s="10">
        <f>VLOOKUP(A30,source_cprd_aurum!$A$2:$H$158,8,FALSE)</f>
        <v>4</v>
      </c>
      <c r="C30" s="10" t="str">
        <f>VLOOKUP(A30,source_cprd_aurum!$A$2:$F$158,6,FALSE)</f>
        <v>Social</v>
      </c>
      <c r="D30">
        <v>0</v>
      </c>
      <c r="E30" t="s">
        <v>166</v>
      </c>
      <c r="F30" s="10">
        <v>18.607298231699254</v>
      </c>
      <c r="G30" s="10" t="s">
        <v>167</v>
      </c>
      <c r="H30" t="s">
        <v>194</v>
      </c>
      <c r="I30" s="2">
        <f t="shared" si="0"/>
        <v>-14.607298231699254</v>
      </c>
    </row>
    <row r="31" spans="1:9">
      <c r="A31" t="s">
        <v>82</v>
      </c>
      <c r="B31" s="10">
        <f>VLOOKUP(A31,source_cprd_aurum!$A$2:$H$158,8,FALSE)</f>
        <v>4</v>
      </c>
      <c r="C31" s="10" t="str">
        <f>VLOOKUP(A31,source_cprd_aurum!$A$2:$F$158,6,FALSE)</f>
        <v>Social</v>
      </c>
      <c r="D31">
        <v>0</v>
      </c>
      <c r="E31" t="s">
        <v>166</v>
      </c>
      <c r="F31" s="10">
        <v>18.607298231699254</v>
      </c>
      <c r="G31" s="10" t="s">
        <v>167</v>
      </c>
      <c r="H31" t="s">
        <v>194</v>
      </c>
      <c r="I31" s="2">
        <f t="shared" si="0"/>
        <v>-14.607298231699254</v>
      </c>
    </row>
    <row r="32" spans="1:9">
      <c r="A32" t="s">
        <v>123</v>
      </c>
      <c r="B32" s="10">
        <f>VLOOKUP(A32,source_cprd_aurum!$A$2:$H$158,8,FALSE)</f>
        <v>4</v>
      </c>
      <c r="C32" s="10" t="str">
        <f>VLOOKUP(A32,source_cprd_aurum!$A$2:$F$158,6,FALSE)</f>
        <v>Social</v>
      </c>
      <c r="D32">
        <v>0</v>
      </c>
      <c r="E32" t="s">
        <v>166</v>
      </c>
      <c r="F32" s="10">
        <v>18.607298231699254</v>
      </c>
      <c r="G32" s="10" t="s">
        <v>167</v>
      </c>
      <c r="H32" t="s">
        <v>194</v>
      </c>
      <c r="I32" s="2">
        <f t="shared" si="0"/>
        <v>-14.607298231699254</v>
      </c>
    </row>
    <row r="33" spans="1:9">
      <c r="A33" t="s">
        <v>143</v>
      </c>
      <c r="B33" s="10">
        <f>VLOOKUP(A33,source_cprd_aurum!$A$2:$H$158,8,FALSE)</f>
        <v>4</v>
      </c>
      <c r="C33" s="10" t="str">
        <f>VLOOKUP(A33,source_cprd_aurum!$A$2:$F$158,6,FALSE)</f>
        <v>Social</v>
      </c>
      <c r="D33">
        <v>0</v>
      </c>
      <c r="E33" t="s">
        <v>166</v>
      </c>
      <c r="F33" s="10">
        <v>18.607298231699254</v>
      </c>
      <c r="G33" s="10" t="s">
        <v>167</v>
      </c>
      <c r="H33" t="s">
        <v>194</v>
      </c>
      <c r="I33" s="2">
        <f t="shared" si="0"/>
        <v>-14.607298231699254</v>
      </c>
    </row>
    <row r="34" spans="1:9">
      <c r="A34" t="s">
        <v>134</v>
      </c>
      <c r="B34" s="10">
        <f>VLOOKUP(A34,source_cprd_aurum!$A$2:$H$158,8,FALSE)</f>
        <v>4.0678624813153963</v>
      </c>
      <c r="C34" s="10" t="str">
        <f>VLOOKUP(A34,source_cprd_aurum!$A$2:$F$158,6,FALSE)</f>
        <v>Non-registered other</v>
      </c>
      <c r="D34">
        <v>0</v>
      </c>
      <c r="E34" t="s">
        <v>166</v>
      </c>
      <c r="F34" s="10">
        <v>18.607298231699254</v>
      </c>
      <c r="G34" s="10" t="s">
        <v>167</v>
      </c>
      <c r="H34" t="s">
        <v>194</v>
      </c>
      <c r="I34" s="2">
        <f t="shared" ref="I34:I65" si="1">B34-F34</f>
        <v>-14.539435750383857</v>
      </c>
    </row>
    <row r="35" spans="1:9">
      <c r="A35" t="s">
        <v>101</v>
      </c>
      <c r="B35" s="10">
        <f>VLOOKUP(A35,source_cprd_aurum!$A$2:$H$158,8,FALSE)</f>
        <v>4.5198804185351271</v>
      </c>
      <c r="C35" s="10" t="str">
        <f>VLOOKUP(A35,source_cprd_aurum!$A$2:$F$158,6,FALSE)</f>
        <v>Non-registered other</v>
      </c>
      <c r="D35">
        <v>0</v>
      </c>
      <c r="E35" t="s">
        <v>166</v>
      </c>
      <c r="F35" s="10">
        <v>18.607298231699254</v>
      </c>
      <c r="G35" s="10" t="s">
        <v>167</v>
      </c>
      <c r="H35" t="s">
        <v>194</v>
      </c>
      <c r="I35" s="2">
        <f t="shared" si="1"/>
        <v>-14.087417813164127</v>
      </c>
    </row>
    <row r="36" spans="1:9">
      <c r="A36" t="s">
        <v>55</v>
      </c>
      <c r="B36" s="10">
        <f>VLOOKUP(A36,source_cprd_aurum!$A$2:$H$158,8,FALSE)</f>
        <v>4.5271051320378675</v>
      </c>
      <c r="C36" s="10" t="str">
        <f>VLOOKUP(A36,source_cprd_aurum!$A$2:$F$158,6,FALSE)</f>
        <v>Medic non-GP</v>
      </c>
      <c r="D36">
        <v>0</v>
      </c>
      <c r="E36" t="s">
        <v>166</v>
      </c>
      <c r="F36" s="10">
        <v>18.607298231699254</v>
      </c>
      <c r="G36" s="10" t="s">
        <v>167</v>
      </c>
      <c r="H36" t="s">
        <v>194</v>
      </c>
      <c r="I36" s="2">
        <f t="shared" si="1"/>
        <v>-14.080193099661386</v>
      </c>
    </row>
    <row r="37" spans="1:9">
      <c r="A37" t="s">
        <v>149</v>
      </c>
      <c r="B37" s="10">
        <f>VLOOKUP(A37,source_cprd_aurum!$A$2:$H$158,8,FALSE)</f>
        <v>5.4238166417538611</v>
      </c>
      <c r="C37" s="10" t="str">
        <f>VLOOKUP(A37,source_cprd_aurum!$A$2:$F$158,6,FALSE)</f>
        <v>AHP</v>
      </c>
      <c r="D37">
        <v>0</v>
      </c>
      <c r="E37" t="s">
        <v>166</v>
      </c>
      <c r="F37" s="10">
        <v>18.607298231699254</v>
      </c>
      <c r="G37" s="10" t="s">
        <v>167</v>
      </c>
      <c r="H37" t="s">
        <v>194</v>
      </c>
      <c r="I37" s="2">
        <f t="shared" si="1"/>
        <v>-13.183481589945393</v>
      </c>
    </row>
    <row r="38" spans="1:9">
      <c r="A38" t="s">
        <v>154</v>
      </c>
      <c r="B38" s="10">
        <f>VLOOKUP(A38,source_cprd_aurum!$A$2:$H$158,8,FALSE)</f>
        <v>5.4238166417538611</v>
      </c>
      <c r="C38" s="10" t="str">
        <f>VLOOKUP(A38,source_cprd_aurum!$A$2:$F$158,6,FALSE)</f>
        <v>Nurse</v>
      </c>
      <c r="D38">
        <v>0</v>
      </c>
      <c r="E38" t="s">
        <v>166</v>
      </c>
      <c r="F38" s="10">
        <v>18.607298231699254</v>
      </c>
      <c r="G38" s="10" t="s">
        <v>167</v>
      </c>
      <c r="H38" t="s">
        <v>194</v>
      </c>
      <c r="I38" s="2">
        <f t="shared" si="1"/>
        <v>-13.183481589945393</v>
      </c>
    </row>
    <row r="39" spans="1:9">
      <c r="A39" t="s">
        <v>145</v>
      </c>
      <c r="B39" s="10">
        <f>VLOOKUP(A39,source_cprd_aurum!$A$2:$H$158,8,FALSE)</f>
        <v>5.4238166417538611</v>
      </c>
      <c r="C39" s="10" t="str">
        <f>VLOOKUP(A39,source_cprd_aurum!$A$2:$F$158,6,FALSE)</f>
        <v>AHP</v>
      </c>
      <c r="D39">
        <v>0</v>
      </c>
      <c r="E39" t="s">
        <v>166</v>
      </c>
      <c r="F39" s="10">
        <v>18.607298231699254</v>
      </c>
      <c r="G39" s="10" t="s">
        <v>167</v>
      </c>
      <c r="H39" t="s">
        <v>194</v>
      </c>
      <c r="I39" s="2">
        <f t="shared" si="1"/>
        <v>-13.183481589945393</v>
      </c>
    </row>
    <row r="40" spans="1:9">
      <c r="A40" t="s">
        <v>130</v>
      </c>
      <c r="B40" s="10">
        <f>VLOOKUP(A40,source_cprd_aurum!$A$2:$H$158,8,FALSE)</f>
        <v>5.4238166417538611</v>
      </c>
      <c r="C40" s="10" t="str">
        <f>VLOOKUP(A40,source_cprd_aurum!$A$2:$F$158,6,FALSE)</f>
        <v>Non-registered other</v>
      </c>
      <c r="D40">
        <v>0</v>
      </c>
      <c r="E40" t="s">
        <v>166</v>
      </c>
      <c r="F40" s="10">
        <v>18.607298231699254</v>
      </c>
      <c r="G40" s="10" t="s">
        <v>167</v>
      </c>
      <c r="H40" t="s">
        <v>194</v>
      </c>
      <c r="I40" s="2">
        <f t="shared" si="1"/>
        <v>-13.183481589945393</v>
      </c>
    </row>
    <row r="41" spans="1:9">
      <c r="A41" t="s">
        <v>108</v>
      </c>
      <c r="B41" s="10">
        <f>VLOOKUP(A41,source_cprd_aurum!$A$2:$H$158,8,FALSE)</f>
        <v>5.4238166417538611</v>
      </c>
      <c r="C41" s="10" t="str">
        <f>VLOOKUP(A41,source_cprd_aurum!$A$2:$F$158,6,FALSE)</f>
        <v>Nurse</v>
      </c>
      <c r="D41">
        <v>0</v>
      </c>
      <c r="E41" t="s">
        <v>166</v>
      </c>
      <c r="F41" s="10">
        <v>18.607298231699254</v>
      </c>
      <c r="G41" s="10" t="s">
        <v>167</v>
      </c>
      <c r="H41" t="s">
        <v>194</v>
      </c>
      <c r="I41" s="2">
        <f t="shared" si="1"/>
        <v>-13.183481589945393</v>
      </c>
    </row>
    <row r="42" spans="1:9">
      <c r="A42" t="s">
        <v>91</v>
      </c>
      <c r="B42" s="10">
        <f>VLOOKUP(A42,source_cprd_aurum!$A$2:$H$158,8,FALSE)</f>
        <v>5.4238166417538611</v>
      </c>
      <c r="C42" s="10" t="str">
        <f>VLOOKUP(A42,source_cprd_aurum!$A$2:$F$158,6,FALSE)</f>
        <v>Nurse</v>
      </c>
      <c r="D42">
        <v>0</v>
      </c>
      <c r="E42" t="s">
        <v>166</v>
      </c>
      <c r="F42" s="10">
        <v>18.607298231699254</v>
      </c>
      <c r="G42" s="10" t="s">
        <v>167</v>
      </c>
      <c r="H42" t="s">
        <v>194</v>
      </c>
      <c r="I42" s="2">
        <f t="shared" si="1"/>
        <v>-13.183481589945393</v>
      </c>
    </row>
    <row r="43" spans="1:9">
      <c r="A43" t="s">
        <v>96</v>
      </c>
      <c r="B43" s="10">
        <f>VLOOKUP(A43,source_cprd_aurum!$A$2:$H$158,8,FALSE)</f>
        <v>6.2210264075734933</v>
      </c>
      <c r="C43" s="10" t="str">
        <f>VLOOKUP(A43,source_cprd_aurum!$A$2:$F$158,6,FALSE)</f>
        <v>Admin</v>
      </c>
      <c r="D43">
        <v>0</v>
      </c>
      <c r="E43" t="s">
        <v>166</v>
      </c>
      <c r="F43" s="10">
        <v>18.607298231699254</v>
      </c>
      <c r="G43" s="10" t="s">
        <v>167</v>
      </c>
      <c r="H43" t="s">
        <v>194</v>
      </c>
      <c r="I43" s="2">
        <f t="shared" si="1"/>
        <v>-12.38627182412576</v>
      </c>
    </row>
    <row r="44" spans="1:9">
      <c r="A44" t="s">
        <v>135</v>
      </c>
      <c r="B44" s="10">
        <f>VLOOKUP(A44,source_cprd_aurum!$A$2:$H$158,8,FALSE)</f>
        <v>6.5</v>
      </c>
      <c r="C44" s="10" t="str">
        <f>VLOOKUP(A44,source_cprd_aurum!$A$2:$F$158,6,FALSE)</f>
        <v>AHP</v>
      </c>
      <c r="D44">
        <v>0</v>
      </c>
      <c r="E44" t="s">
        <v>166</v>
      </c>
      <c r="F44" s="10">
        <v>18.607298231699254</v>
      </c>
      <c r="G44" s="10" t="s">
        <v>167</v>
      </c>
      <c r="H44" t="s">
        <v>194</v>
      </c>
      <c r="I44" s="2">
        <f t="shared" si="1"/>
        <v>-12.107298231699254</v>
      </c>
    </row>
    <row r="45" spans="1:9">
      <c r="A45" t="s">
        <v>118</v>
      </c>
      <c r="B45" s="10">
        <f>VLOOKUP(A45,source_cprd_aurum!$A$2:$H$158,8,FALSE)</f>
        <v>7.333333333333333</v>
      </c>
      <c r="C45" s="10" t="str">
        <f>VLOOKUP(A45,source_cprd_aurum!$A$2:$F$158,6,FALSE)</f>
        <v>Non-registered other</v>
      </c>
      <c r="D45">
        <v>0</v>
      </c>
      <c r="E45" t="s">
        <v>166</v>
      </c>
      <c r="F45" s="10">
        <v>18.607298231699254</v>
      </c>
      <c r="G45" s="10" t="s">
        <v>167</v>
      </c>
      <c r="H45" t="s">
        <v>194</v>
      </c>
      <c r="I45" s="2">
        <f t="shared" si="1"/>
        <v>-11.273964898365922</v>
      </c>
    </row>
    <row r="46" spans="1:9">
      <c r="A46" t="s">
        <v>44</v>
      </c>
      <c r="B46" s="10">
        <f>VLOOKUP(A46,source_cprd_aurum!$A$2:$H$158,8,FALSE)</f>
        <v>13</v>
      </c>
      <c r="C46" s="10" t="str">
        <f>VLOOKUP(A46,source_cprd_aurum!$A$2:$F$158,6,FALSE)</f>
        <v>Non-registered other</v>
      </c>
      <c r="D46">
        <v>38004512</v>
      </c>
      <c r="E46" t="s">
        <v>97</v>
      </c>
      <c r="F46" s="10">
        <v>23.467787742899851</v>
      </c>
      <c r="G46" s="10" t="s">
        <v>235</v>
      </c>
      <c r="H46" t="s">
        <v>194</v>
      </c>
      <c r="I46" s="2">
        <f t="shared" si="1"/>
        <v>-10.467787742899851</v>
      </c>
    </row>
    <row r="47" spans="1:9">
      <c r="A47" t="s">
        <v>98</v>
      </c>
      <c r="B47" s="10">
        <f>VLOOKUP(A47,source_cprd_aurum!$A$2:$H$158,8,FALSE)</f>
        <v>9.33153961136024</v>
      </c>
      <c r="C47" s="10" t="str">
        <f>VLOOKUP(A47,source_cprd_aurum!$A$2:$F$158,6,FALSE)</f>
        <v>Admin</v>
      </c>
      <c r="D47">
        <v>0</v>
      </c>
      <c r="E47" t="s">
        <v>166</v>
      </c>
      <c r="F47" s="10">
        <v>18.607298231699254</v>
      </c>
      <c r="G47" s="10" t="s">
        <v>167</v>
      </c>
      <c r="H47" t="s">
        <v>194</v>
      </c>
      <c r="I47" s="2">
        <f t="shared" si="1"/>
        <v>-9.2757586203390137</v>
      </c>
    </row>
    <row r="48" spans="1:9">
      <c r="A48" t="s">
        <v>104</v>
      </c>
      <c r="B48" s="10">
        <f>VLOOKUP(A48,source_cprd_aurum!$A$2:$H$158,8,FALSE)</f>
        <v>9.33153961136024</v>
      </c>
      <c r="C48" s="10" t="str">
        <f>VLOOKUP(A48,source_cprd_aurum!$A$2:$F$158,6,FALSE)</f>
        <v>Admin</v>
      </c>
      <c r="D48">
        <v>0</v>
      </c>
      <c r="E48" t="s">
        <v>166</v>
      </c>
      <c r="F48" s="10">
        <v>18.607298231699254</v>
      </c>
      <c r="G48" s="10" t="s">
        <v>167</v>
      </c>
      <c r="H48" t="s">
        <v>194</v>
      </c>
      <c r="I48" s="2">
        <f t="shared" si="1"/>
        <v>-9.2757586203390137</v>
      </c>
    </row>
    <row r="49" spans="1:9">
      <c r="A49" t="s">
        <v>69</v>
      </c>
      <c r="B49" s="10">
        <f>VLOOKUP(A49,source_cprd_aurum!$A$2:$H$158,8,FALSE)</f>
        <v>9.75</v>
      </c>
      <c r="C49" s="10" t="str">
        <f>VLOOKUP(A49,source_cprd_aurum!$A$2:$F$158,6,FALSE)</f>
        <v>Non-registered other</v>
      </c>
      <c r="D49">
        <v>0</v>
      </c>
      <c r="E49" t="s">
        <v>166</v>
      </c>
      <c r="F49" s="10">
        <v>18.607298231699254</v>
      </c>
      <c r="G49" s="10" t="s">
        <v>167</v>
      </c>
      <c r="H49" t="s">
        <v>194</v>
      </c>
      <c r="I49" s="2">
        <f t="shared" si="1"/>
        <v>-8.8572982316992537</v>
      </c>
    </row>
    <row r="50" spans="1:9">
      <c r="A50" t="s">
        <v>132</v>
      </c>
      <c r="B50" s="10">
        <f>VLOOKUP(A50,source_cprd_aurum!$A$2:$H$158,8,FALSE)</f>
        <v>11.5</v>
      </c>
      <c r="C50" s="10" t="str">
        <f>VLOOKUP(A50,source_cprd_aurum!$A$2:$F$158,6,FALSE)</f>
        <v>Admin</v>
      </c>
      <c r="D50">
        <v>0</v>
      </c>
      <c r="E50" t="s">
        <v>166</v>
      </c>
      <c r="F50" s="10">
        <v>18.607298231699254</v>
      </c>
      <c r="G50" s="10" t="s">
        <v>167</v>
      </c>
      <c r="H50" t="s">
        <v>194</v>
      </c>
      <c r="I50" s="2">
        <f t="shared" si="1"/>
        <v>-7.1072982316992537</v>
      </c>
    </row>
    <row r="51" spans="1:9">
      <c r="A51" t="s">
        <v>106</v>
      </c>
      <c r="B51" s="10">
        <f>VLOOKUP(A51,source_cprd_aurum!$A$2:$H$158,8,FALSE)</f>
        <v>12.442052815146987</v>
      </c>
      <c r="C51" s="10" t="str">
        <f>VLOOKUP(A51,source_cprd_aurum!$A$2:$F$158,6,FALSE)</f>
        <v>Dental</v>
      </c>
      <c r="D51">
        <v>0</v>
      </c>
      <c r="E51" t="s">
        <v>166</v>
      </c>
      <c r="F51" s="10">
        <v>18.607298231699254</v>
      </c>
      <c r="G51" s="10" t="s">
        <v>167</v>
      </c>
      <c r="H51" t="s">
        <v>194</v>
      </c>
      <c r="I51" s="2">
        <f t="shared" si="1"/>
        <v>-6.165245416552267</v>
      </c>
    </row>
    <row r="52" spans="1:9">
      <c r="A52" t="s">
        <v>57</v>
      </c>
      <c r="B52" s="10">
        <f>VLOOKUP(A52,source_cprd_aurum!$A$2:$H$158,8,FALSE)</f>
        <v>13</v>
      </c>
      <c r="C52" s="10" t="str">
        <f>VLOOKUP(A52,source_cprd_aurum!$A$2:$F$158,6,FALSE)</f>
        <v>Non-registered other</v>
      </c>
      <c r="D52">
        <v>0</v>
      </c>
      <c r="E52" t="s">
        <v>166</v>
      </c>
      <c r="F52" s="10">
        <v>18.607298231699254</v>
      </c>
      <c r="G52" s="10" t="s">
        <v>167</v>
      </c>
      <c r="H52" t="s">
        <v>194</v>
      </c>
      <c r="I52" s="2">
        <f t="shared" si="1"/>
        <v>-5.6072982316992537</v>
      </c>
    </row>
    <row r="53" spans="1:9">
      <c r="A53" t="s">
        <v>33</v>
      </c>
      <c r="B53" s="10">
        <f>VLOOKUP(A53,source_cprd_aurum!$A$2:$H$158,8,FALSE)</f>
        <v>13</v>
      </c>
      <c r="C53" s="10" t="str">
        <f>VLOOKUP(A53,source_cprd_aurum!$A$2:$F$158,6,FALSE)</f>
        <v>Nurse</v>
      </c>
      <c r="D53">
        <v>0</v>
      </c>
      <c r="E53" t="s">
        <v>166</v>
      </c>
      <c r="F53" s="10">
        <v>18.607298231699254</v>
      </c>
      <c r="G53" s="10" t="s">
        <v>167</v>
      </c>
      <c r="H53" t="s">
        <v>194</v>
      </c>
      <c r="I53" s="2">
        <f t="shared" si="1"/>
        <v>-5.6072982316992537</v>
      </c>
    </row>
    <row r="54" spans="1:9">
      <c r="A54" t="s">
        <v>83</v>
      </c>
      <c r="B54" s="10">
        <f>VLOOKUP(A54,source_cprd_aurum!$A$2:$H$158,8,FALSE)</f>
        <v>13</v>
      </c>
      <c r="C54" s="10" t="str">
        <f>VLOOKUP(A54,source_cprd_aurum!$A$2:$F$158,6,FALSE)</f>
        <v>Non-registered other</v>
      </c>
      <c r="D54">
        <v>0</v>
      </c>
      <c r="E54" t="s">
        <v>166</v>
      </c>
      <c r="F54" s="10">
        <v>18.607298231699254</v>
      </c>
      <c r="G54" s="10" t="s">
        <v>167</v>
      </c>
      <c r="H54" t="s">
        <v>194</v>
      </c>
      <c r="I54" s="2">
        <f t="shared" si="1"/>
        <v>-5.6072982316992537</v>
      </c>
    </row>
    <row r="55" spans="1:9">
      <c r="A55" t="s">
        <v>124</v>
      </c>
      <c r="B55" s="10">
        <f>VLOOKUP(A55,source_cprd_aurum!$A$2:$H$158,8,FALSE)</f>
        <v>13.581315396113602</v>
      </c>
      <c r="C55" s="10" t="str">
        <f>VLOOKUP(A55,source_cprd_aurum!$A$2:$F$158,6,FALSE)</f>
        <v>Nurse</v>
      </c>
      <c r="D55">
        <v>0</v>
      </c>
      <c r="E55" t="s">
        <v>166</v>
      </c>
      <c r="F55" s="10">
        <v>18.607298231699254</v>
      </c>
      <c r="G55" s="10" t="s">
        <v>167</v>
      </c>
      <c r="H55" t="s">
        <v>194</v>
      </c>
      <c r="I55" s="2">
        <f t="shared" si="1"/>
        <v>-5.0259828355856513</v>
      </c>
    </row>
    <row r="56" spans="1:9">
      <c r="A56" t="s">
        <v>116</v>
      </c>
      <c r="B56" s="10">
        <f>VLOOKUP(A56,source_cprd_aurum!$A$2:$H$158,8,FALSE)</f>
        <v>14.25</v>
      </c>
      <c r="C56" s="10" t="str">
        <f>VLOOKUP(A56,source_cprd_aurum!$A$2:$F$158,6,FALSE)</f>
        <v>AHP</v>
      </c>
      <c r="D56">
        <v>0</v>
      </c>
      <c r="E56" t="s">
        <v>166</v>
      </c>
      <c r="F56" s="10">
        <v>18.607298231699254</v>
      </c>
      <c r="G56" s="10" t="s">
        <v>167</v>
      </c>
      <c r="H56" t="s">
        <v>194</v>
      </c>
      <c r="I56" s="2">
        <f t="shared" si="1"/>
        <v>-4.3572982316992537</v>
      </c>
    </row>
    <row r="57" spans="1:9">
      <c r="A57" t="s">
        <v>137</v>
      </c>
      <c r="B57" s="10">
        <f>VLOOKUP(A57,source_cprd_aurum!$A$2:$H$158,8,FALSE)</f>
        <v>14.25</v>
      </c>
      <c r="C57" s="10" t="str">
        <f>VLOOKUP(A57,source_cprd_aurum!$A$2:$F$158,6,FALSE)</f>
        <v>AHP</v>
      </c>
      <c r="D57">
        <v>0</v>
      </c>
      <c r="E57" t="s">
        <v>166</v>
      </c>
      <c r="F57" s="10">
        <v>18.607298231699254</v>
      </c>
      <c r="G57" s="10" t="s">
        <v>167</v>
      </c>
      <c r="H57" t="s">
        <v>194</v>
      </c>
      <c r="I57" s="2">
        <f t="shared" si="1"/>
        <v>-4.3572982316992537</v>
      </c>
    </row>
    <row r="58" spans="1:9">
      <c r="A58" t="s">
        <v>129</v>
      </c>
      <c r="B58" s="10">
        <f>VLOOKUP(A58,source_cprd_aurum!$A$2:$H$158,8,FALSE)</f>
        <v>14.25</v>
      </c>
      <c r="C58" s="10" t="str">
        <f>VLOOKUP(A58,source_cprd_aurum!$A$2:$F$158,6,FALSE)</f>
        <v>AHP</v>
      </c>
      <c r="D58">
        <v>0</v>
      </c>
      <c r="E58" t="s">
        <v>166</v>
      </c>
      <c r="F58" s="10">
        <v>18.607298231699254</v>
      </c>
      <c r="G58" s="10" t="s">
        <v>167</v>
      </c>
      <c r="H58" t="s">
        <v>194</v>
      </c>
      <c r="I58" s="2">
        <f t="shared" si="1"/>
        <v>-4.3572982316992537</v>
      </c>
    </row>
    <row r="59" spans="1:9">
      <c r="A59" t="s">
        <v>90</v>
      </c>
      <c r="B59" s="10">
        <f>VLOOKUP(A59,source_cprd_aurum!$A$2:$H$158,8,FALSE)</f>
        <v>14.666666666666666</v>
      </c>
      <c r="C59" s="10" t="str">
        <f>VLOOKUP(A59,source_cprd_aurum!$A$2:$F$158,6,FALSE)</f>
        <v>Non-registered other</v>
      </c>
      <c r="D59">
        <v>0</v>
      </c>
      <c r="E59" t="s">
        <v>166</v>
      </c>
      <c r="F59" s="10">
        <v>18.607298231699254</v>
      </c>
      <c r="G59" s="10" t="s">
        <v>167</v>
      </c>
      <c r="H59" t="s">
        <v>194</v>
      </c>
      <c r="I59" s="2">
        <f t="shared" si="1"/>
        <v>-3.9406315650325876</v>
      </c>
    </row>
    <row r="60" spans="1:9">
      <c r="A60" t="s">
        <v>122</v>
      </c>
      <c r="B60" s="10">
        <f>VLOOKUP(A60,source_cprd_aurum!$A$2:$H$158,8,FALSE)</f>
        <v>14.666666666666666</v>
      </c>
      <c r="C60" s="10" t="str">
        <f>VLOOKUP(A60,source_cprd_aurum!$A$2:$F$158,6,FALSE)</f>
        <v>AHP</v>
      </c>
      <c r="D60">
        <v>0</v>
      </c>
      <c r="E60" t="s">
        <v>166</v>
      </c>
      <c r="F60" s="10">
        <v>18.607298231699254</v>
      </c>
      <c r="G60" s="10" t="s">
        <v>167</v>
      </c>
      <c r="H60" t="s">
        <v>194</v>
      </c>
      <c r="I60" s="2">
        <f t="shared" si="1"/>
        <v>-3.9406315650325876</v>
      </c>
    </row>
    <row r="61" spans="1:9">
      <c r="A61" t="s">
        <v>144</v>
      </c>
      <c r="B61" s="10">
        <f>VLOOKUP(A61,source_cprd_aurum!$A$2:$H$158,8,FALSE)</f>
        <v>14.666666666666666</v>
      </c>
      <c r="C61" s="10" t="str">
        <f>VLOOKUP(A61,source_cprd_aurum!$A$2:$F$158,6,FALSE)</f>
        <v>AHP</v>
      </c>
      <c r="D61">
        <v>0</v>
      </c>
      <c r="E61" t="s">
        <v>166</v>
      </c>
      <c r="F61" s="10">
        <v>18.607298231699254</v>
      </c>
      <c r="G61" s="10" t="s">
        <v>167</v>
      </c>
      <c r="H61" t="s">
        <v>194</v>
      </c>
      <c r="I61" s="2">
        <f t="shared" si="1"/>
        <v>-3.9406315650325876</v>
      </c>
    </row>
    <row r="62" spans="1:9">
      <c r="A62" t="s">
        <v>117</v>
      </c>
      <c r="B62" s="10">
        <f>VLOOKUP(A62,source_cprd_aurum!$A$2:$H$158,8,FALSE)</f>
        <v>14.666666666666666</v>
      </c>
      <c r="C62" s="10" t="str">
        <f>VLOOKUP(A62,source_cprd_aurum!$A$2:$F$158,6,FALSE)</f>
        <v>AHP</v>
      </c>
      <c r="D62">
        <v>0</v>
      </c>
      <c r="E62" t="s">
        <v>166</v>
      </c>
      <c r="F62" s="10">
        <v>18.607298231699254</v>
      </c>
      <c r="G62" s="10" t="s">
        <v>167</v>
      </c>
      <c r="H62" t="s">
        <v>194</v>
      </c>
      <c r="I62" s="2">
        <f t="shared" si="1"/>
        <v>-3.9406315650325876</v>
      </c>
    </row>
    <row r="63" spans="1:9">
      <c r="A63" t="s">
        <v>78</v>
      </c>
      <c r="B63" s="10">
        <f>VLOOKUP(A63,source_cprd_aurum!$A$2:$H$158,8,FALSE)</f>
        <v>14.666666666666666</v>
      </c>
      <c r="C63" s="10" t="str">
        <f>VLOOKUP(A63,source_cprd_aurum!$A$2:$F$158,6,FALSE)</f>
        <v>AHP</v>
      </c>
      <c r="D63">
        <v>0</v>
      </c>
      <c r="E63" t="s">
        <v>166</v>
      </c>
      <c r="F63" s="10">
        <v>18.607298231699254</v>
      </c>
      <c r="G63" s="10" t="s">
        <v>167</v>
      </c>
      <c r="H63" t="s">
        <v>194</v>
      </c>
      <c r="I63" s="2">
        <f t="shared" si="1"/>
        <v>-3.9406315650325876</v>
      </c>
    </row>
    <row r="64" spans="1:9">
      <c r="A64" t="s">
        <v>142</v>
      </c>
      <c r="B64" s="10">
        <f>VLOOKUP(A64,source_cprd_aurum!$A$2:$H$158,8,FALSE)</f>
        <v>14.666666666666666</v>
      </c>
      <c r="C64" s="10" t="str">
        <f>VLOOKUP(A64,source_cprd_aurum!$A$2:$F$158,6,FALSE)</f>
        <v>AHP</v>
      </c>
      <c r="D64">
        <v>0</v>
      </c>
      <c r="E64" t="s">
        <v>166</v>
      </c>
      <c r="F64" s="10">
        <v>18.607298231699254</v>
      </c>
      <c r="G64" s="10" t="s">
        <v>167</v>
      </c>
      <c r="H64" t="s">
        <v>194</v>
      </c>
      <c r="I64" s="2">
        <f t="shared" si="1"/>
        <v>-3.9406315650325876</v>
      </c>
    </row>
    <row r="65" spans="1:9">
      <c r="A65" t="s">
        <v>102</v>
      </c>
      <c r="B65" s="10">
        <f>VLOOKUP(A65,source_cprd_aurum!$A$2:$H$158,8,FALSE)</f>
        <v>14.666666666666666</v>
      </c>
      <c r="C65" s="10" t="str">
        <f>VLOOKUP(A65,source_cprd_aurum!$A$2:$F$158,6,FALSE)</f>
        <v>Non-registered other</v>
      </c>
      <c r="D65">
        <v>0</v>
      </c>
      <c r="E65" t="s">
        <v>166</v>
      </c>
      <c r="F65" s="10">
        <v>18.607298231699254</v>
      </c>
      <c r="G65" s="10" t="s">
        <v>167</v>
      </c>
      <c r="H65" t="s">
        <v>194</v>
      </c>
      <c r="I65" s="2">
        <f t="shared" si="1"/>
        <v>-3.9406315650325876</v>
      </c>
    </row>
    <row r="66" spans="1:9">
      <c r="A66" t="s">
        <v>32</v>
      </c>
      <c r="B66" s="10">
        <f>VLOOKUP(A66,source_cprd_aurum!$A$2:$H$158,8,FALSE)</f>
        <v>17.25</v>
      </c>
      <c r="C66" s="10" t="str">
        <f>VLOOKUP(A66,source_cprd_aurum!$A$2:$F$158,6,FALSE)</f>
        <v>Nurse</v>
      </c>
      <c r="D66">
        <v>38003731</v>
      </c>
      <c r="E66" t="s">
        <v>173</v>
      </c>
      <c r="F66" s="10">
        <v>20.916666666666668</v>
      </c>
      <c r="G66" s="10" t="s">
        <v>6</v>
      </c>
      <c r="H66" t="s">
        <v>194</v>
      </c>
      <c r="I66" s="2">
        <f t="shared" ref="I66:I97" si="2">B66-F66</f>
        <v>-3.6666666666666679</v>
      </c>
    </row>
    <row r="67" spans="1:9">
      <c r="A67" t="s">
        <v>22</v>
      </c>
      <c r="B67" s="10">
        <f>VLOOKUP(A67,source_cprd_aurum!$A$2:$H$158,8,FALSE)</f>
        <v>6.0265072247135034</v>
      </c>
      <c r="C67" s="10" t="str">
        <f>VLOOKUP(A67,source_cprd_aurum!$A$2:$F$158,6,FALSE)</f>
        <v>Non-registered other</v>
      </c>
      <c r="D67">
        <v>38003819</v>
      </c>
      <c r="E67" t="s">
        <v>174</v>
      </c>
      <c r="F67" s="10">
        <v>9.5132536123567526</v>
      </c>
      <c r="G67" s="10" t="s">
        <v>235</v>
      </c>
      <c r="H67" t="s">
        <v>194</v>
      </c>
      <c r="I67" s="2">
        <f t="shared" si="2"/>
        <v>-3.4867463876432492</v>
      </c>
    </row>
    <row r="68" spans="1:9">
      <c r="A68" t="s">
        <v>41</v>
      </c>
      <c r="B68" s="10">
        <f>VLOOKUP(A68,source_cprd_aurum!$A$2:$H$158,8,FALSE)</f>
        <v>0.30132536123567516</v>
      </c>
      <c r="C68" s="10" t="str">
        <f>VLOOKUP(A68,source_cprd_aurum!$A$2:$F$158,6,FALSE)</f>
        <v>Admin</v>
      </c>
      <c r="D68">
        <v>38004185</v>
      </c>
      <c r="E68" t="s">
        <v>162</v>
      </c>
      <c r="F68" s="10">
        <v>2.7537942202291981</v>
      </c>
      <c r="G68" s="10" t="s">
        <v>233</v>
      </c>
      <c r="H68" t="s">
        <v>194</v>
      </c>
      <c r="I68" s="2">
        <f t="shared" si="2"/>
        <v>-2.4524688589935231</v>
      </c>
    </row>
    <row r="69" spans="1:9">
      <c r="A69" t="s">
        <v>38</v>
      </c>
      <c r="B69" s="10">
        <f>VLOOKUP(A69,source_cprd_aurum!$A$2:$H$158,8,FALSE)</f>
        <v>0.30132536123567516</v>
      </c>
      <c r="C69" s="10" t="str">
        <f>VLOOKUP(A69,source_cprd_aurum!$A$2:$F$158,6,FALSE)</f>
        <v>Admin</v>
      </c>
      <c r="D69">
        <v>38004185</v>
      </c>
      <c r="E69" t="s">
        <v>162</v>
      </c>
      <c r="F69" s="10">
        <v>2.7537942202291981</v>
      </c>
      <c r="G69" s="10" t="s">
        <v>233</v>
      </c>
      <c r="H69" t="s">
        <v>194</v>
      </c>
      <c r="I69" s="2">
        <f t="shared" si="2"/>
        <v>-2.4524688589935231</v>
      </c>
    </row>
    <row r="70" spans="1:9">
      <c r="A70" t="s">
        <v>3</v>
      </c>
      <c r="B70" s="10">
        <f>VLOOKUP(A70,source_cprd_aurum!$A$2:$H$158,8,FALSE)</f>
        <v>0.60265072247135032</v>
      </c>
      <c r="C70" s="10" t="str">
        <f>VLOOKUP(A70,source_cprd_aurum!$A$2:$F$158,6,FALSE)</f>
        <v>Admin</v>
      </c>
      <c r="D70">
        <v>38004185</v>
      </c>
      <c r="E70" t="s">
        <v>162</v>
      </c>
      <c r="F70" s="10">
        <v>2.7537942202291981</v>
      </c>
      <c r="G70" s="10" t="s">
        <v>233</v>
      </c>
      <c r="H70" t="s">
        <v>194</v>
      </c>
      <c r="I70" s="2">
        <f t="shared" si="2"/>
        <v>-2.1511434977578476</v>
      </c>
    </row>
    <row r="71" spans="1:9">
      <c r="A71" t="s">
        <v>21</v>
      </c>
      <c r="B71" s="10">
        <f>VLOOKUP(A71,source_cprd_aurum!$A$2:$H$158,8,FALSE)</f>
        <v>15.666666666666666</v>
      </c>
      <c r="C71" s="10" t="str">
        <f>VLOOKUP(A71,source_cprd_aurum!$A$2:$F$158,6,FALSE)</f>
        <v>Nurse</v>
      </c>
      <c r="D71">
        <v>38003716</v>
      </c>
      <c r="E71" t="s">
        <v>171</v>
      </c>
      <c r="F71" s="10">
        <v>17.5</v>
      </c>
      <c r="G71" s="10" t="s">
        <v>6</v>
      </c>
      <c r="H71" t="s">
        <v>194</v>
      </c>
      <c r="I71" s="2">
        <f t="shared" si="2"/>
        <v>-1.8333333333333339</v>
      </c>
    </row>
    <row r="72" spans="1:9">
      <c r="A72" t="s">
        <v>70</v>
      </c>
      <c r="B72" s="10">
        <f>VLOOKUP(A72,source_cprd_aurum!$A$2:$H$158,8,FALSE)</f>
        <v>19.25</v>
      </c>
      <c r="C72" s="10" t="str">
        <f>VLOOKUP(A72,source_cprd_aurum!$A$2:$F$158,6,FALSE)</f>
        <v>Nurse</v>
      </c>
      <c r="D72">
        <v>38003731</v>
      </c>
      <c r="E72" t="s">
        <v>173</v>
      </c>
      <c r="F72" s="10">
        <v>20.916666666666668</v>
      </c>
      <c r="G72" s="10" t="s">
        <v>6</v>
      </c>
      <c r="H72" t="s">
        <v>194</v>
      </c>
      <c r="I72" s="2">
        <f t="shared" si="2"/>
        <v>-1.6666666666666679</v>
      </c>
    </row>
    <row r="73" spans="1:9">
      <c r="A73" t="s">
        <v>88</v>
      </c>
      <c r="B73" s="10">
        <f>VLOOKUP(A73,source_cprd_aurum!$A$2:$H$158,8,FALSE)</f>
        <v>17</v>
      </c>
      <c r="C73" s="10" t="str">
        <f>VLOOKUP(A73,source_cprd_aurum!$A$2:$F$158,6,FALSE)</f>
        <v>AHP</v>
      </c>
      <c r="D73">
        <v>0</v>
      </c>
      <c r="E73" t="s">
        <v>166</v>
      </c>
      <c r="F73" s="10">
        <v>18.607298231699254</v>
      </c>
      <c r="G73" s="10" t="s">
        <v>167</v>
      </c>
      <c r="H73" t="s">
        <v>194</v>
      </c>
      <c r="I73" s="2">
        <f t="shared" si="2"/>
        <v>-1.6072982316992537</v>
      </c>
    </row>
    <row r="74" spans="1:9">
      <c r="A74" t="s">
        <v>139</v>
      </c>
      <c r="B74" s="10">
        <f>VLOOKUP(A74,source_cprd_aurum!$A$2:$H$158,8,FALSE)</f>
        <v>17</v>
      </c>
      <c r="C74" s="10" t="str">
        <f>VLOOKUP(A74,source_cprd_aurum!$A$2:$F$158,6,FALSE)</f>
        <v>AHP</v>
      </c>
      <c r="D74">
        <v>0</v>
      </c>
      <c r="E74" t="s">
        <v>166</v>
      </c>
      <c r="F74" s="10">
        <v>18.607298231699254</v>
      </c>
      <c r="G74" s="10" t="s">
        <v>167</v>
      </c>
      <c r="H74" t="s">
        <v>194</v>
      </c>
      <c r="I74" s="2">
        <f t="shared" si="2"/>
        <v>-1.6072982316992537</v>
      </c>
    </row>
    <row r="75" spans="1:9">
      <c r="A75" t="s">
        <v>94</v>
      </c>
      <c r="B75" s="10">
        <f>VLOOKUP(A75,source_cprd_aurum!$A$2:$H$158,8,FALSE)</f>
        <v>17</v>
      </c>
      <c r="C75" s="10" t="str">
        <f>VLOOKUP(A75,source_cprd_aurum!$A$2:$F$158,6,FALSE)</f>
        <v>AHP</v>
      </c>
      <c r="D75">
        <v>0</v>
      </c>
      <c r="E75" t="s">
        <v>166</v>
      </c>
      <c r="F75" s="10">
        <v>18.607298231699254</v>
      </c>
      <c r="G75" s="10" t="s">
        <v>167</v>
      </c>
      <c r="H75" t="s">
        <v>194</v>
      </c>
      <c r="I75" s="2">
        <f t="shared" si="2"/>
        <v>-1.6072982316992537</v>
      </c>
    </row>
    <row r="76" spans="1:9">
      <c r="A76" t="s">
        <v>126</v>
      </c>
      <c r="B76" s="10">
        <f>VLOOKUP(A76,source_cprd_aurum!$A$2:$H$158,8,FALSE)</f>
        <v>17</v>
      </c>
      <c r="C76" s="10" t="str">
        <f>VLOOKUP(A76,source_cprd_aurum!$A$2:$F$158,6,FALSE)</f>
        <v>AHP</v>
      </c>
      <c r="D76">
        <v>0</v>
      </c>
      <c r="E76" t="s">
        <v>166</v>
      </c>
      <c r="F76" s="10">
        <v>18.607298231699254</v>
      </c>
      <c r="G76" s="10" t="s">
        <v>167</v>
      </c>
      <c r="H76" t="s">
        <v>194</v>
      </c>
      <c r="I76" s="2">
        <f t="shared" si="2"/>
        <v>-1.6072982316992537</v>
      </c>
    </row>
    <row r="77" spans="1:9">
      <c r="A77" t="s">
        <v>4</v>
      </c>
      <c r="B77" s="10">
        <f>VLOOKUP(A77,source_cprd_aurum!$A$2:$H$158,8,FALSE)</f>
        <v>6.2210264075734933</v>
      </c>
      <c r="C77" s="10" t="str">
        <f>VLOOKUP(A77,source_cprd_aurum!$A$2:$F$158,6,FALSE)</f>
        <v>Admin</v>
      </c>
      <c r="D77">
        <v>38003781</v>
      </c>
      <c r="E77" t="s">
        <v>164</v>
      </c>
      <c r="F77" s="10">
        <v>7.6376183358246141</v>
      </c>
      <c r="G77" s="10" t="s">
        <v>233</v>
      </c>
      <c r="H77" t="s">
        <v>194</v>
      </c>
      <c r="I77" s="2">
        <f t="shared" si="2"/>
        <v>-1.4165919282511208</v>
      </c>
    </row>
    <row r="78" spans="1:9">
      <c r="A78" t="s">
        <v>39</v>
      </c>
      <c r="B78" s="10">
        <f>VLOOKUP(A78,source_cprd_aurum!$A$2:$H$158,8,FALSE)</f>
        <v>0.30132536123567516</v>
      </c>
      <c r="C78" s="10" t="str">
        <f>VLOOKUP(A78,source_cprd_aurum!$A$2:$F$158,6,FALSE)</f>
        <v>Admin</v>
      </c>
      <c r="D78">
        <v>38004154</v>
      </c>
      <c r="E78" t="s">
        <v>163</v>
      </c>
      <c r="F78" s="10">
        <v>1.6271569506726458</v>
      </c>
      <c r="G78" s="10" t="s">
        <v>233</v>
      </c>
      <c r="H78" t="s">
        <v>194</v>
      </c>
      <c r="I78" s="2">
        <f t="shared" si="2"/>
        <v>-1.3258315894369705</v>
      </c>
    </row>
    <row r="79" spans="1:9">
      <c r="A79" t="s">
        <v>9</v>
      </c>
      <c r="B79" s="10">
        <f>VLOOKUP(A79,source_cprd_aurum!$A$2:$H$158,8,FALSE)</f>
        <v>0.30132536123567516</v>
      </c>
      <c r="C79" s="10" t="str">
        <f>VLOOKUP(A79,source_cprd_aurum!$A$2:$F$158,6,FALSE)</f>
        <v>Admin</v>
      </c>
      <c r="D79">
        <v>38004154</v>
      </c>
      <c r="E79" t="s">
        <v>163</v>
      </c>
      <c r="F79" s="10">
        <v>1.6271569506726458</v>
      </c>
      <c r="G79" s="10" t="s">
        <v>233</v>
      </c>
      <c r="H79" t="s">
        <v>194</v>
      </c>
      <c r="I79" s="2">
        <f t="shared" si="2"/>
        <v>-1.3258315894369705</v>
      </c>
    </row>
    <row r="80" spans="1:9">
      <c r="A80" t="s">
        <v>14</v>
      </c>
      <c r="B80" s="10">
        <f>VLOOKUP(A80,source_cprd_aurum!$A$2:$H$158,8,FALSE)</f>
        <v>0.30132536123567516</v>
      </c>
      <c r="C80" s="10" t="str">
        <f>VLOOKUP(A80,source_cprd_aurum!$A$2:$F$158,6,FALSE)</f>
        <v>Admin</v>
      </c>
      <c r="D80">
        <v>38004169</v>
      </c>
      <c r="E80" t="s">
        <v>172</v>
      </c>
      <c r="F80" s="10">
        <v>0.90397608370702554</v>
      </c>
      <c r="G80" s="10" t="s">
        <v>233</v>
      </c>
      <c r="H80" t="s">
        <v>194</v>
      </c>
      <c r="I80" s="2">
        <f t="shared" si="2"/>
        <v>-0.60265072247135043</v>
      </c>
    </row>
    <row r="81" spans="1:9">
      <c r="A81" t="s">
        <v>63</v>
      </c>
      <c r="B81" s="10">
        <f>VLOOKUP(A81,source_cprd_aurum!$A$2:$H$158,8,FALSE)</f>
        <v>14.25</v>
      </c>
      <c r="C81" s="10" t="str">
        <f>VLOOKUP(A81,source_cprd_aurum!$A$2:$F$158,6,FALSE)</f>
        <v>AHP</v>
      </c>
      <c r="D81">
        <v>38003696</v>
      </c>
      <c r="E81" t="s">
        <v>62</v>
      </c>
      <c r="F81" s="10">
        <v>14.458333333333332</v>
      </c>
      <c r="G81" s="10" t="s">
        <v>237</v>
      </c>
      <c r="H81" t="s">
        <v>194</v>
      </c>
      <c r="I81" s="2">
        <f t="shared" si="2"/>
        <v>-0.20833333333333215</v>
      </c>
    </row>
    <row r="82" spans="1:9">
      <c r="A82" t="s">
        <v>8</v>
      </c>
      <c r="B82" s="10">
        <f>VLOOKUP(A82,source_cprd_aurum!$A$2:$H$158,8,FALSE)</f>
        <v>1.5066268061783759</v>
      </c>
      <c r="C82" s="10" t="str">
        <f>VLOOKUP(A82,source_cprd_aurum!$A$2:$F$158,6,FALSE)</f>
        <v>Admin</v>
      </c>
      <c r="D82">
        <v>38004154</v>
      </c>
      <c r="E82" t="s">
        <v>163</v>
      </c>
      <c r="F82" s="10">
        <v>1.6271569506726458</v>
      </c>
      <c r="G82" s="10" t="s">
        <v>233</v>
      </c>
      <c r="H82" t="s">
        <v>194</v>
      </c>
      <c r="I82" s="2">
        <f t="shared" si="2"/>
        <v>-0.12053014449426991</v>
      </c>
    </row>
    <row r="83" spans="1:9">
      <c r="A83" t="s">
        <v>12</v>
      </c>
      <c r="B83" s="10">
        <f>VLOOKUP(A83,source_cprd_aurum!$A$2:$H$158,8,FALSE)</f>
        <v>3.0132536123567517</v>
      </c>
      <c r="C83" s="10" t="str">
        <f>VLOOKUP(A83,source_cprd_aurum!$A$2:$F$158,6,FALSE)</f>
        <v>Admin</v>
      </c>
      <c r="D83">
        <v>38003789</v>
      </c>
      <c r="E83" t="s">
        <v>169</v>
      </c>
      <c r="F83" s="10">
        <v>3.0618834080717492</v>
      </c>
      <c r="G83" s="10" t="s">
        <v>238</v>
      </c>
      <c r="H83" t="s">
        <v>319</v>
      </c>
      <c r="I83" s="2">
        <f t="shared" si="2"/>
        <v>-4.8629795714997481E-2</v>
      </c>
    </row>
    <row r="84" spans="1:9">
      <c r="A84" t="s">
        <v>2</v>
      </c>
      <c r="B84" s="10">
        <f>VLOOKUP(A84,source_cprd_aurum!$A$2:$H$158,8,FALSE)</f>
        <v>55.5</v>
      </c>
      <c r="C84" s="10" t="str">
        <f>VLOOKUP(A84,source_cprd_aurum!$A$2:$F$158,6,FALSE)</f>
        <v>GP</v>
      </c>
      <c r="D84">
        <v>38004446</v>
      </c>
      <c r="E84" t="s">
        <v>160</v>
      </c>
      <c r="F84" s="10">
        <v>55.5</v>
      </c>
      <c r="G84" s="10" t="s">
        <v>332</v>
      </c>
      <c r="H84" t="s">
        <v>194</v>
      </c>
      <c r="I84" s="2">
        <f t="shared" si="2"/>
        <v>0</v>
      </c>
    </row>
    <row r="85" spans="1:9">
      <c r="A85" t="s">
        <v>11</v>
      </c>
      <c r="B85" s="10">
        <f>VLOOKUP(A85,source_cprd_aurum!$A$2:$H$158,8,FALSE)</f>
        <v>55.5</v>
      </c>
      <c r="C85" s="10" t="str">
        <f>VLOOKUP(A85,source_cprd_aurum!$A$2:$F$158,6,FALSE)</f>
        <v>GP</v>
      </c>
      <c r="D85">
        <v>38004446</v>
      </c>
      <c r="E85" t="s">
        <v>160</v>
      </c>
      <c r="F85" s="10">
        <v>55.5</v>
      </c>
      <c r="G85" s="10" t="s">
        <v>332</v>
      </c>
      <c r="H85" t="s">
        <v>194</v>
      </c>
      <c r="I85" s="2">
        <f t="shared" si="2"/>
        <v>0</v>
      </c>
    </row>
    <row r="86" spans="1:9">
      <c r="A86" t="s">
        <v>109</v>
      </c>
      <c r="B86" s="10">
        <f>VLOOKUP(A86,source_cprd_aurum!$A$2:$H$158,8,FALSE)</f>
        <v>22.666666666666664</v>
      </c>
      <c r="C86" s="10" t="str">
        <f>VLOOKUP(A86,source_cprd_aurum!$A$2:$F$158,6,FALSE)</f>
        <v>Non-registered other</v>
      </c>
      <c r="D86">
        <v>38003638</v>
      </c>
      <c r="E86" t="s">
        <v>187</v>
      </c>
      <c r="F86" s="10">
        <v>22.666666666666664</v>
      </c>
      <c r="G86" s="10" t="s">
        <v>235</v>
      </c>
      <c r="H86" t="s">
        <v>193</v>
      </c>
      <c r="I86" s="2">
        <f t="shared" si="2"/>
        <v>0</v>
      </c>
    </row>
    <row r="87" spans="1:9">
      <c r="A87" t="s">
        <v>16</v>
      </c>
      <c r="B87" s="10">
        <f>VLOOKUP(A87,source_cprd_aurum!$A$2:$H$158,8,FALSE)</f>
        <v>29</v>
      </c>
      <c r="C87" s="10" t="str">
        <f>VLOOKUP(A87,source_cprd_aurum!$A$2:$F$158,6,FALSE)</f>
        <v>Nurse</v>
      </c>
      <c r="D87">
        <v>38004390</v>
      </c>
      <c r="E87" t="s">
        <v>170</v>
      </c>
      <c r="F87" s="10">
        <v>29</v>
      </c>
      <c r="G87" s="10" t="s">
        <v>6</v>
      </c>
      <c r="H87" t="s">
        <v>193</v>
      </c>
      <c r="I87" s="2">
        <f t="shared" si="2"/>
        <v>0</v>
      </c>
    </row>
    <row r="88" spans="1:9">
      <c r="A88" t="s">
        <v>5</v>
      </c>
      <c r="B88" s="10">
        <f>VLOOKUP(A88,source_cprd_aurum!$A$2:$H$158,8,FALSE)</f>
        <v>74</v>
      </c>
      <c r="C88" s="10" t="str">
        <f>VLOOKUP(A88,source_cprd_aurum!$A$2:$F$158,6,FALSE)</f>
        <v>Non-registered other</v>
      </c>
      <c r="D88">
        <v>38004376</v>
      </c>
      <c r="E88" t="s">
        <v>161</v>
      </c>
      <c r="F88" s="10">
        <v>74</v>
      </c>
      <c r="G88" s="10" t="s">
        <v>235</v>
      </c>
      <c r="H88" t="s">
        <v>193</v>
      </c>
      <c r="I88" s="2">
        <f t="shared" si="2"/>
        <v>0</v>
      </c>
    </row>
    <row r="89" spans="1:9">
      <c r="A89" t="s">
        <v>75</v>
      </c>
      <c r="B89" s="10">
        <f>VLOOKUP(A89,source_cprd_aurum!$A$2:$H$158,8,FALSE)</f>
        <v>19.333333333333332</v>
      </c>
      <c r="C89" s="10" t="str">
        <f>VLOOKUP(A89,source_cprd_aurum!$A$2:$F$158,6,FALSE)</f>
        <v>Nurse</v>
      </c>
      <c r="D89">
        <v>38004413</v>
      </c>
      <c r="E89" t="s">
        <v>184</v>
      </c>
      <c r="F89" s="10">
        <v>19.333333333333332</v>
      </c>
      <c r="G89" s="10" t="s">
        <v>6</v>
      </c>
      <c r="H89" t="s">
        <v>193</v>
      </c>
      <c r="I89" s="2">
        <f t="shared" si="2"/>
        <v>0</v>
      </c>
    </row>
    <row r="90" spans="1:9">
      <c r="A90" t="s">
        <v>85</v>
      </c>
      <c r="B90" s="10">
        <f>VLOOKUP(A90,source_cprd_aurum!$A$2:$H$158,8,FALSE)</f>
        <v>19</v>
      </c>
      <c r="C90" s="10" t="str">
        <f>VLOOKUP(A90,source_cprd_aurum!$A$2:$F$158,6,FALSE)</f>
        <v>AHP</v>
      </c>
      <c r="D90">
        <v>38003659</v>
      </c>
      <c r="E90" t="s">
        <v>185</v>
      </c>
      <c r="F90" s="10">
        <v>19</v>
      </c>
      <c r="G90" s="10" t="s">
        <v>237</v>
      </c>
      <c r="H90" t="s">
        <v>193</v>
      </c>
      <c r="I90" s="2">
        <f t="shared" si="2"/>
        <v>0</v>
      </c>
    </row>
    <row r="91" spans="1:9">
      <c r="A91" t="s">
        <v>7</v>
      </c>
      <c r="B91" s="10">
        <f>VLOOKUP(A91,source_cprd_aurum!$A$2:$H$158,8,FALSE)</f>
        <v>4.5807673143996013</v>
      </c>
      <c r="C91" s="10" t="str">
        <f>VLOOKUP(A91,source_cprd_aurum!$A$2:$F$158,6,FALSE)</f>
        <v>Non-registered other</v>
      </c>
      <c r="D91">
        <v>38004370</v>
      </c>
      <c r="E91" t="s">
        <v>165</v>
      </c>
      <c r="F91" s="10">
        <v>4.5807673143996013</v>
      </c>
      <c r="G91" s="10" t="s">
        <v>235</v>
      </c>
      <c r="H91" t="s">
        <v>193</v>
      </c>
      <c r="I91" s="2">
        <f t="shared" si="2"/>
        <v>0</v>
      </c>
    </row>
    <row r="92" spans="1:9">
      <c r="A92" t="s">
        <v>133</v>
      </c>
      <c r="B92" s="10">
        <f>VLOOKUP(A92,source_cprd_aurum!$A$2:$H$158,8,FALSE)</f>
        <v>17</v>
      </c>
      <c r="C92" s="10" t="str">
        <f>VLOOKUP(A92,source_cprd_aurum!$A$2:$F$158,6,FALSE)</f>
        <v>Non-registered other</v>
      </c>
      <c r="D92">
        <v>38003625</v>
      </c>
      <c r="E92" t="s">
        <v>189</v>
      </c>
      <c r="F92" s="10">
        <v>17</v>
      </c>
      <c r="G92" s="10" t="s">
        <v>235</v>
      </c>
      <c r="H92" t="s">
        <v>193</v>
      </c>
      <c r="I92" s="2">
        <f t="shared" si="2"/>
        <v>0</v>
      </c>
    </row>
    <row r="93" spans="1:9">
      <c r="A93" t="s">
        <v>195</v>
      </c>
      <c r="B93" s="10">
        <f>VLOOKUP(A93,source_cprd_aurum!$A$2:$H$158,8,FALSE)</f>
        <v>0.35506726457399101</v>
      </c>
      <c r="C93" s="10" t="str">
        <f>VLOOKUP(A93,source_cprd_aurum!$A$2:$F$158,6,FALSE)</f>
        <v>Admin</v>
      </c>
      <c r="D93">
        <v>38003648</v>
      </c>
      <c r="E93" t="s">
        <v>190</v>
      </c>
      <c r="F93" s="10">
        <v>0.35506726457399101</v>
      </c>
      <c r="G93" s="10" t="s">
        <v>233</v>
      </c>
      <c r="H93" t="s">
        <v>193</v>
      </c>
      <c r="I93" s="2">
        <f t="shared" si="2"/>
        <v>0</v>
      </c>
    </row>
    <row r="94" spans="1:9">
      <c r="A94" t="s">
        <v>119</v>
      </c>
      <c r="B94" s="10">
        <f>VLOOKUP(A94,source_cprd_aurum!$A$2:$H$158,8,FALSE)</f>
        <v>19.333333333333332</v>
      </c>
      <c r="C94" s="10" t="str">
        <f>VLOOKUP(A94,source_cprd_aurum!$A$2:$F$158,6,FALSE)</f>
        <v>AHP</v>
      </c>
      <c r="D94">
        <v>38003807</v>
      </c>
      <c r="E94" t="s">
        <v>119</v>
      </c>
      <c r="F94" s="10">
        <v>19.333333333333332</v>
      </c>
      <c r="G94" s="10" t="s">
        <v>237</v>
      </c>
      <c r="H94" t="s">
        <v>193</v>
      </c>
      <c r="I94" s="2">
        <f t="shared" si="2"/>
        <v>0</v>
      </c>
    </row>
    <row r="95" spans="1:9">
      <c r="A95" t="s">
        <v>31</v>
      </c>
      <c r="B95" s="10">
        <f>VLOOKUP(A95,source_cprd_aurum!$A$2:$H$158,8,FALSE)</f>
        <v>11.75</v>
      </c>
      <c r="C95" s="10" t="str">
        <f>VLOOKUP(A95,source_cprd_aurum!$A$2:$F$158,6,FALSE)</f>
        <v>Nurse</v>
      </c>
      <c r="D95">
        <v>38004487</v>
      </c>
      <c r="E95" t="s">
        <v>175</v>
      </c>
      <c r="F95" s="10">
        <v>11.75</v>
      </c>
      <c r="G95" s="10" t="s">
        <v>6</v>
      </c>
      <c r="H95" t="s">
        <v>193</v>
      </c>
      <c r="I95" s="2">
        <f t="shared" si="2"/>
        <v>0</v>
      </c>
    </row>
    <row r="96" spans="1:9">
      <c r="A96" t="s">
        <v>25</v>
      </c>
      <c r="B96" s="10">
        <f>VLOOKUP(A96,source_cprd_aurum!$A$2:$H$158,8,FALSE)</f>
        <v>14.25</v>
      </c>
      <c r="C96" s="10" t="str">
        <f>VLOOKUP(A96,source_cprd_aurum!$A$2:$F$158,6,FALSE)</f>
        <v>AHP</v>
      </c>
      <c r="D96">
        <v>38003810</v>
      </c>
      <c r="E96" t="s">
        <v>25</v>
      </c>
      <c r="F96" s="10">
        <v>14.25</v>
      </c>
      <c r="G96" s="10" t="s">
        <v>237</v>
      </c>
      <c r="H96" t="s">
        <v>193</v>
      </c>
      <c r="I96" s="2">
        <f t="shared" si="2"/>
        <v>0</v>
      </c>
    </row>
    <row r="97" spans="1:9">
      <c r="A97" t="s">
        <v>23</v>
      </c>
      <c r="B97" s="10">
        <f>VLOOKUP(A97,source_cprd_aurum!$A$2:$H$158,8,FALSE)</f>
        <v>2.2903836571998006</v>
      </c>
      <c r="C97" s="10" t="str">
        <f>VLOOKUP(A97,source_cprd_aurum!$A$2:$F$158,6,FALSE)</f>
        <v>Non-registered other</v>
      </c>
      <c r="D97">
        <v>38004145</v>
      </c>
      <c r="E97" t="s">
        <v>23</v>
      </c>
      <c r="F97" s="10">
        <v>2.2903836571998006</v>
      </c>
      <c r="G97" s="10" t="s">
        <v>235</v>
      </c>
      <c r="H97" t="s">
        <v>193</v>
      </c>
      <c r="I97" s="2">
        <f t="shared" si="2"/>
        <v>0</v>
      </c>
    </row>
    <row r="98" spans="1:9">
      <c r="A98" t="s">
        <v>47</v>
      </c>
      <c r="B98" s="10">
        <f>VLOOKUP(A98,source_cprd_aurum!$A$2:$H$158,8,FALSE)</f>
        <v>14.666666666666666</v>
      </c>
      <c r="C98" s="10" t="str">
        <f>VLOOKUP(A98,source_cprd_aurum!$A$2:$F$158,6,FALSE)</f>
        <v>AHP</v>
      </c>
      <c r="D98">
        <v>38004056</v>
      </c>
      <c r="E98" t="s">
        <v>179</v>
      </c>
      <c r="F98" s="10">
        <v>14.666666666666666</v>
      </c>
      <c r="G98" s="10" t="s">
        <v>237</v>
      </c>
      <c r="H98" t="s">
        <v>193</v>
      </c>
      <c r="I98" s="2">
        <f t="shared" ref="I98:I129" si="3">B98-F98</f>
        <v>0</v>
      </c>
    </row>
    <row r="99" spans="1:9">
      <c r="A99" t="s">
        <v>28</v>
      </c>
      <c r="B99" s="10">
        <f>VLOOKUP(A99,source_cprd_aurum!$A$2:$H$158,8,FALSE)</f>
        <v>0.30132536123567516</v>
      </c>
      <c r="C99" s="10" t="str">
        <f>VLOOKUP(A99,source_cprd_aurum!$A$2:$F$158,6,FALSE)</f>
        <v>Admin</v>
      </c>
      <c r="D99">
        <v>38004153</v>
      </c>
      <c r="E99" t="s">
        <v>176</v>
      </c>
      <c r="F99" s="10">
        <v>0.30132536123567516</v>
      </c>
      <c r="G99" s="10" t="s">
        <v>233</v>
      </c>
      <c r="H99" t="s">
        <v>193</v>
      </c>
      <c r="I99" s="2">
        <f t="shared" si="3"/>
        <v>0</v>
      </c>
    </row>
    <row r="100" spans="1:9">
      <c r="A100" t="s">
        <v>65</v>
      </c>
      <c r="B100" s="10">
        <f>VLOOKUP(A100,source_cprd_aurum!$A$2:$H$158,8,FALSE)</f>
        <v>14.666666666666666</v>
      </c>
      <c r="C100" s="10" t="str">
        <f>VLOOKUP(A100,source_cprd_aurum!$A$2:$F$158,6,FALSE)</f>
        <v>AHP</v>
      </c>
      <c r="D100">
        <v>38004030</v>
      </c>
      <c r="E100" t="s">
        <v>180</v>
      </c>
      <c r="F100" s="10">
        <v>14.666666666666666</v>
      </c>
      <c r="G100" s="10" t="s">
        <v>237</v>
      </c>
      <c r="H100" t="s">
        <v>193</v>
      </c>
      <c r="I100" s="2">
        <f t="shared" si="3"/>
        <v>0</v>
      </c>
    </row>
    <row r="101" spans="1:9">
      <c r="A101" t="s">
        <v>59</v>
      </c>
      <c r="B101" s="10">
        <f>VLOOKUP(A101,source_cprd_aurum!$A$2:$H$158,8,FALSE)</f>
        <v>14.666666666666666</v>
      </c>
      <c r="C101" s="10" t="str">
        <f>VLOOKUP(A101,source_cprd_aurum!$A$2:$F$158,6,FALSE)</f>
        <v>Non-registered other</v>
      </c>
      <c r="D101">
        <v>38003627</v>
      </c>
      <c r="E101" t="s">
        <v>182</v>
      </c>
      <c r="F101" s="10">
        <v>14.666666666666666</v>
      </c>
      <c r="G101" s="10" t="s">
        <v>235</v>
      </c>
      <c r="H101" t="s">
        <v>193</v>
      </c>
      <c r="I101" s="2">
        <f t="shared" si="3"/>
        <v>0</v>
      </c>
    </row>
    <row r="102" spans="1:9">
      <c r="A102" t="s">
        <v>100</v>
      </c>
      <c r="B102" s="10">
        <f>VLOOKUP(A102,source_cprd_aurum!$A$2:$H$158,8,FALSE)</f>
        <v>14.666666666666666</v>
      </c>
      <c r="C102" s="10" t="str">
        <f>VLOOKUP(A102,source_cprd_aurum!$A$2:$F$158,6,FALSE)</f>
        <v>AHP</v>
      </c>
      <c r="D102">
        <v>38004176</v>
      </c>
      <c r="E102" t="s">
        <v>186</v>
      </c>
      <c r="F102" s="10">
        <v>14.666666666666666</v>
      </c>
      <c r="G102" s="10" t="s">
        <v>237</v>
      </c>
      <c r="H102" t="s">
        <v>193</v>
      </c>
      <c r="I102" s="2">
        <f t="shared" si="3"/>
        <v>0</v>
      </c>
    </row>
    <row r="103" spans="1:9">
      <c r="A103" t="s">
        <v>13</v>
      </c>
      <c r="B103" s="10">
        <f>VLOOKUP(A103,source_cprd_aurum!$A$2:$H$158,8,FALSE)</f>
        <v>15.666666666666666</v>
      </c>
      <c r="C103" s="10" t="str">
        <f>VLOOKUP(A103,source_cprd_aurum!$A$2:$F$158,6,FALSE)</f>
        <v>Nurse</v>
      </c>
      <c r="D103">
        <v>38003722</v>
      </c>
      <c r="E103" t="s">
        <v>168</v>
      </c>
      <c r="F103" s="10">
        <v>15.666666666666666</v>
      </c>
      <c r="G103" s="10" t="s">
        <v>6</v>
      </c>
      <c r="H103" t="s">
        <v>193</v>
      </c>
      <c r="I103" s="2">
        <f t="shared" si="3"/>
        <v>0</v>
      </c>
    </row>
    <row r="104" spans="1:9">
      <c r="A104" t="s">
        <v>73</v>
      </c>
      <c r="B104" s="10">
        <f>VLOOKUP(A104,source_cprd_aurum!$A$2:$H$158,8,FALSE)</f>
        <v>14.666666666666666</v>
      </c>
      <c r="C104" s="10" t="str">
        <f>VLOOKUP(A104,source_cprd_aurum!$A$2:$F$158,6,FALSE)</f>
        <v>AHP</v>
      </c>
      <c r="D104">
        <v>38003690</v>
      </c>
      <c r="E104" t="s">
        <v>183</v>
      </c>
      <c r="F104" s="10">
        <v>14.666666666666666</v>
      </c>
      <c r="G104" s="10" t="s">
        <v>237</v>
      </c>
      <c r="H104" t="s">
        <v>193</v>
      </c>
      <c r="I104" s="2">
        <f t="shared" si="3"/>
        <v>0</v>
      </c>
    </row>
    <row r="105" spans="1:9">
      <c r="A105" t="s">
        <v>138</v>
      </c>
      <c r="B105" s="10">
        <f>VLOOKUP(A105,source_cprd_aurum!$A$2:$H$158,8,FALSE)</f>
        <v>13</v>
      </c>
      <c r="C105" s="10" t="str">
        <f>VLOOKUP(A105,source_cprd_aurum!$A$2:$F$158,6,FALSE)</f>
        <v>Non-registered other</v>
      </c>
      <c r="D105">
        <v>38003760</v>
      </c>
      <c r="E105" t="s">
        <v>188</v>
      </c>
      <c r="F105" s="10">
        <v>13</v>
      </c>
      <c r="G105" s="10" t="s">
        <v>235</v>
      </c>
      <c r="H105" t="s">
        <v>193</v>
      </c>
      <c r="I105" s="2">
        <f t="shared" si="3"/>
        <v>0</v>
      </c>
    </row>
    <row r="106" spans="1:9">
      <c r="A106" t="s">
        <v>114</v>
      </c>
      <c r="B106" s="10">
        <f>VLOOKUP(A106,source_cprd_aurum!$A$2:$H$158,8,FALSE)</f>
        <v>4</v>
      </c>
      <c r="C106" s="10" t="str">
        <f>VLOOKUP(A106,source_cprd_aurum!$A$2:$F$158,6,FALSE)</f>
        <v>Social</v>
      </c>
      <c r="D106">
        <v>38004499</v>
      </c>
      <c r="E106" t="s">
        <v>114</v>
      </c>
      <c r="F106" s="10">
        <v>4</v>
      </c>
      <c r="G106" s="10" t="s">
        <v>234</v>
      </c>
      <c r="H106" t="s">
        <v>193</v>
      </c>
      <c r="I106" s="2">
        <f t="shared" si="3"/>
        <v>0</v>
      </c>
    </row>
    <row r="107" spans="1:9">
      <c r="A107" t="s">
        <v>58</v>
      </c>
      <c r="B107" s="10">
        <f>VLOOKUP(A107,source_cprd_aurum!$A$2:$H$158,8,FALSE)</f>
        <v>5.4238166417538611</v>
      </c>
      <c r="C107" s="10" t="str">
        <f>VLOOKUP(A107,source_cprd_aurum!$A$2:$F$158,6,FALSE)</f>
        <v>Medic non-GP</v>
      </c>
      <c r="D107">
        <v>38004445</v>
      </c>
      <c r="E107" t="s">
        <v>181</v>
      </c>
      <c r="F107" s="10">
        <v>5.4238166417538611</v>
      </c>
      <c r="G107" s="10" t="s">
        <v>333</v>
      </c>
      <c r="H107" t="s">
        <v>193</v>
      </c>
      <c r="I107" s="2">
        <f t="shared" si="3"/>
        <v>0</v>
      </c>
    </row>
    <row r="108" spans="1:9">
      <c r="A108" t="s">
        <v>43</v>
      </c>
      <c r="B108" s="10">
        <f>VLOOKUP(A108,source_cprd_aurum!$A$2:$H$158,8,FALSE)</f>
        <v>2.2903836571998006</v>
      </c>
      <c r="C108" s="10" t="str">
        <f>VLOOKUP(A108,source_cprd_aurum!$A$2:$F$158,6,FALSE)</f>
        <v>Non-registered other</v>
      </c>
      <c r="D108">
        <v>38004371</v>
      </c>
      <c r="E108" t="s">
        <v>178</v>
      </c>
      <c r="F108" s="10">
        <v>2.2903836571998006</v>
      </c>
      <c r="G108" s="10" t="s">
        <v>235</v>
      </c>
      <c r="H108" t="s">
        <v>193</v>
      </c>
      <c r="I108" s="2">
        <f t="shared" si="3"/>
        <v>0</v>
      </c>
    </row>
    <row r="109" spans="1:9">
      <c r="A109" t="s">
        <v>54</v>
      </c>
      <c r="B109" s="10">
        <f>VLOOKUP(A109,source_cprd_aurum!$A$2:$H$158,8,FALSE)</f>
        <v>3.1105132037867467</v>
      </c>
      <c r="C109" s="10" t="str">
        <f>VLOOKUP(A109,source_cprd_aurum!$A$2:$F$158,6,FALSE)</f>
        <v>Service</v>
      </c>
      <c r="D109">
        <v>38003789</v>
      </c>
      <c r="E109" t="s">
        <v>169</v>
      </c>
      <c r="F109" s="10">
        <v>3.0618834080717492</v>
      </c>
      <c r="G109" s="10" t="s">
        <v>238</v>
      </c>
      <c r="H109" t="s">
        <v>319</v>
      </c>
      <c r="I109" s="2">
        <f t="shared" si="3"/>
        <v>4.8629795714997481E-2</v>
      </c>
    </row>
    <row r="110" spans="1:9">
      <c r="A110" t="s">
        <v>62</v>
      </c>
      <c r="B110" s="10">
        <f>VLOOKUP(A110,source_cprd_aurum!$A$2:$H$158,8,FALSE)</f>
        <v>14.666666666666666</v>
      </c>
      <c r="C110" s="10" t="str">
        <f>VLOOKUP(A110,source_cprd_aurum!$A$2:$F$158,6,FALSE)</f>
        <v>AHP</v>
      </c>
      <c r="D110">
        <v>38003696</v>
      </c>
      <c r="E110" t="s">
        <v>62</v>
      </c>
      <c r="F110" s="10">
        <v>14.458333333333332</v>
      </c>
      <c r="G110" s="10" t="s">
        <v>237</v>
      </c>
      <c r="H110" t="s">
        <v>194</v>
      </c>
      <c r="I110" s="2">
        <f t="shared" si="3"/>
        <v>0.20833333333333393</v>
      </c>
    </row>
    <row r="111" spans="1:9">
      <c r="A111" t="s">
        <v>19</v>
      </c>
      <c r="B111" s="10">
        <f>VLOOKUP(A111,source_cprd_aurum!$A$2:$H$158,8,FALSE)</f>
        <v>3.0132536123567517</v>
      </c>
      <c r="C111" s="10" t="str">
        <f>VLOOKUP(A111,source_cprd_aurum!$A$2:$F$158,6,FALSE)</f>
        <v>Admin</v>
      </c>
      <c r="D111">
        <v>38004185</v>
      </c>
      <c r="E111" t="s">
        <v>162</v>
      </c>
      <c r="F111" s="10">
        <v>2.7537942202291981</v>
      </c>
      <c r="G111" s="10" t="s">
        <v>233</v>
      </c>
      <c r="H111" t="s">
        <v>194</v>
      </c>
      <c r="I111" s="2">
        <f t="shared" si="3"/>
        <v>0.25945939212755365</v>
      </c>
    </row>
    <row r="112" spans="1:9">
      <c r="A112" t="s">
        <v>121</v>
      </c>
      <c r="B112" s="10">
        <f>VLOOKUP(A112,source_cprd_aurum!$A$2:$H$158,8,FALSE)</f>
        <v>19</v>
      </c>
      <c r="C112" s="10" t="str">
        <f>VLOOKUP(A112,source_cprd_aurum!$A$2:$F$158,6,FALSE)</f>
        <v>AHP</v>
      </c>
      <c r="D112">
        <v>0</v>
      </c>
      <c r="E112" t="s">
        <v>166</v>
      </c>
      <c r="F112" s="10">
        <v>18.607298231699254</v>
      </c>
      <c r="G112" s="10" t="s">
        <v>167</v>
      </c>
      <c r="H112" t="s">
        <v>194</v>
      </c>
      <c r="I112" s="2">
        <f t="shared" si="3"/>
        <v>0.39270176830074632</v>
      </c>
    </row>
    <row r="113" spans="1:9">
      <c r="A113" t="s">
        <v>37</v>
      </c>
      <c r="B113" s="10">
        <f>VLOOKUP(A113,source_cprd_aurum!$A$2:$H$158,8,FALSE)</f>
        <v>3.25</v>
      </c>
      <c r="C113" s="10" t="str">
        <f>VLOOKUP(A113,source_cprd_aurum!$A$2:$F$158,6,FALSE)</f>
        <v>Non-registered other</v>
      </c>
      <c r="D113">
        <v>38004185</v>
      </c>
      <c r="E113" t="s">
        <v>162</v>
      </c>
      <c r="F113" s="10">
        <v>2.7537942202291981</v>
      </c>
      <c r="G113" s="10" t="s">
        <v>233</v>
      </c>
      <c r="H113" t="s">
        <v>194</v>
      </c>
      <c r="I113" s="2">
        <f t="shared" si="3"/>
        <v>0.49620577977080194</v>
      </c>
    </row>
    <row r="114" spans="1:9">
      <c r="A114" t="s">
        <v>77</v>
      </c>
      <c r="B114" s="10">
        <f>VLOOKUP(A114,source_cprd_aurum!$A$2:$H$158,8,FALSE)</f>
        <v>1.5066268061783759</v>
      </c>
      <c r="C114" s="10" t="str">
        <f>VLOOKUP(A114,source_cprd_aurum!$A$2:$F$158,6,FALSE)</f>
        <v>Admin</v>
      </c>
      <c r="D114">
        <v>38004169</v>
      </c>
      <c r="E114" t="s">
        <v>172</v>
      </c>
      <c r="F114" s="10">
        <v>0.90397608370702554</v>
      </c>
      <c r="G114" s="10" t="s">
        <v>233</v>
      </c>
      <c r="H114" t="s">
        <v>194</v>
      </c>
      <c r="I114" s="2">
        <f t="shared" si="3"/>
        <v>0.60265072247135032</v>
      </c>
    </row>
    <row r="115" spans="1:9">
      <c r="A115" t="s">
        <v>95</v>
      </c>
      <c r="B115" s="10">
        <f>VLOOKUP(A115,source_cprd_aurum!$A$2:$H$158,8,FALSE)</f>
        <v>19.25</v>
      </c>
      <c r="C115" s="10" t="str">
        <f>VLOOKUP(A115,source_cprd_aurum!$A$2:$F$158,6,FALSE)</f>
        <v>AHP</v>
      </c>
      <c r="D115">
        <v>0</v>
      </c>
      <c r="E115" t="s">
        <v>166</v>
      </c>
      <c r="F115" s="10">
        <v>18.607298231699254</v>
      </c>
      <c r="G115" s="10" t="s">
        <v>167</v>
      </c>
      <c r="H115" t="s">
        <v>194</v>
      </c>
      <c r="I115" s="2">
        <f t="shared" si="3"/>
        <v>0.64270176830074632</v>
      </c>
    </row>
    <row r="116" spans="1:9">
      <c r="A116" t="s">
        <v>141</v>
      </c>
      <c r="B116" s="10">
        <f>VLOOKUP(A116,source_cprd_aurum!$A$2:$H$158,8,FALSE)</f>
        <v>19.25</v>
      </c>
      <c r="C116" s="10" t="str">
        <f>VLOOKUP(A116,source_cprd_aurum!$A$2:$F$158,6,FALSE)</f>
        <v>AHP</v>
      </c>
      <c r="D116">
        <v>0</v>
      </c>
      <c r="E116" t="s">
        <v>166</v>
      </c>
      <c r="F116" s="10">
        <v>18.607298231699254</v>
      </c>
      <c r="G116" s="10" t="s">
        <v>167</v>
      </c>
      <c r="H116" t="s">
        <v>194</v>
      </c>
      <c r="I116" s="2">
        <f t="shared" si="3"/>
        <v>0.64270176830074632</v>
      </c>
    </row>
    <row r="117" spans="1:9">
      <c r="A117" t="s">
        <v>151</v>
      </c>
      <c r="B117" s="10">
        <f>VLOOKUP(A117,source_cprd_aurum!$A$2:$H$158,8,FALSE)</f>
        <v>19.25</v>
      </c>
      <c r="C117" s="10" t="str">
        <f>VLOOKUP(A117,source_cprd_aurum!$A$2:$F$158,6,FALSE)</f>
        <v>AHP</v>
      </c>
      <c r="D117">
        <v>0</v>
      </c>
      <c r="E117" t="s">
        <v>166</v>
      </c>
      <c r="F117" s="10">
        <v>18.607298231699254</v>
      </c>
      <c r="G117" s="10" t="s">
        <v>167</v>
      </c>
      <c r="H117" t="s">
        <v>194</v>
      </c>
      <c r="I117" s="2">
        <f t="shared" si="3"/>
        <v>0.64270176830074632</v>
      </c>
    </row>
    <row r="118" spans="1:9">
      <c r="A118" t="s">
        <v>156</v>
      </c>
      <c r="B118" s="10">
        <f>VLOOKUP(A118,source_cprd_aurum!$A$2:$H$158,8,FALSE)</f>
        <v>19.25</v>
      </c>
      <c r="C118" s="10" t="str">
        <f>VLOOKUP(A118,source_cprd_aurum!$A$2:$F$158,6,FALSE)</f>
        <v>AHP</v>
      </c>
      <c r="D118">
        <v>0</v>
      </c>
      <c r="E118" t="s">
        <v>166</v>
      </c>
      <c r="F118" s="10">
        <v>18.607298231699254</v>
      </c>
      <c r="G118" s="10" t="s">
        <v>167</v>
      </c>
      <c r="H118" t="s">
        <v>194</v>
      </c>
      <c r="I118" s="2">
        <f t="shared" si="3"/>
        <v>0.64270176830074632</v>
      </c>
    </row>
    <row r="119" spans="1:9">
      <c r="A119" t="s">
        <v>140</v>
      </c>
      <c r="B119" s="10">
        <f>VLOOKUP(A119,source_cprd_aurum!$A$2:$H$158,8,FALSE)</f>
        <v>19.25</v>
      </c>
      <c r="C119" s="10" t="str">
        <f>VLOOKUP(A119,source_cprd_aurum!$A$2:$F$158,6,FALSE)</f>
        <v>AHP</v>
      </c>
      <c r="D119">
        <v>0</v>
      </c>
      <c r="E119" t="s">
        <v>166</v>
      </c>
      <c r="F119" s="10">
        <v>18.607298231699254</v>
      </c>
      <c r="G119" s="10" t="s">
        <v>167</v>
      </c>
      <c r="H119" t="s">
        <v>194</v>
      </c>
      <c r="I119" s="2">
        <f t="shared" si="3"/>
        <v>0.64270176830074632</v>
      </c>
    </row>
    <row r="120" spans="1:9">
      <c r="A120" t="s">
        <v>113</v>
      </c>
      <c r="B120" s="10">
        <f>VLOOKUP(A120,source_cprd_aurum!$A$2:$H$158,8,FALSE)</f>
        <v>19.25</v>
      </c>
      <c r="C120" s="10" t="str">
        <f>VLOOKUP(A120,source_cprd_aurum!$A$2:$F$158,6,FALSE)</f>
        <v>AHP</v>
      </c>
      <c r="D120">
        <v>0</v>
      </c>
      <c r="E120" t="s">
        <v>166</v>
      </c>
      <c r="F120" s="10">
        <v>18.607298231699254</v>
      </c>
      <c r="G120" s="10" t="s">
        <v>167</v>
      </c>
      <c r="H120" t="s">
        <v>194</v>
      </c>
      <c r="I120" s="2">
        <f t="shared" si="3"/>
        <v>0.64270176830074632</v>
      </c>
    </row>
    <row r="121" spans="1:9">
      <c r="A121" t="s">
        <v>107</v>
      </c>
      <c r="B121" s="10">
        <f>VLOOKUP(A121,source_cprd_aurum!$A$2:$H$158,8,FALSE)</f>
        <v>19.25</v>
      </c>
      <c r="C121" s="10" t="str">
        <f>VLOOKUP(A121,source_cprd_aurum!$A$2:$F$158,6,FALSE)</f>
        <v>AHP</v>
      </c>
      <c r="D121">
        <v>0</v>
      </c>
      <c r="E121" t="s">
        <v>166</v>
      </c>
      <c r="F121" s="10">
        <v>18.607298231699254</v>
      </c>
      <c r="G121" s="10" t="s">
        <v>167</v>
      </c>
      <c r="H121" t="s">
        <v>194</v>
      </c>
      <c r="I121" s="2">
        <f t="shared" si="3"/>
        <v>0.64270176830074632</v>
      </c>
    </row>
    <row r="122" spans="1:9">
      <c r="A122" t="s">
        <v>110</v>
      </c>
      <c r="B122" s="10">
        <f>VLOOKUP(A122,source_cprd_aurum!$A$2:$H$158,8,FALSE)</f>
        <v>19.25</v>
      </c>
      <c r="C122" s="10" t="str">
        <f>VLOOKUP(A122,source_cprd_aurum!$A$2:$F$158,6,FALSE)</f>
        <v>AHP</v>
      </c>
      <c r="D122">
        <v>0</v>
      </c>
      <c r="E122" t="s">
        <v>166</v>
      </c>
      <c r="F122" s="10">
        <v>18.607298231699254</v>
      </c>
      <c r="G122" s="10" t="s">
        <v>167</v>
      </c>
      <c r="H122" t="s">
        <v>194</v>
      </c>
      <c r="I122" s="2">
        <f t="shared" si="3"/>
        <v>0.64270176830074632</v>
      </c>
    </row>
    <row r="123" spans="1:9">
      <c r="A123" t="s">
        <v>153</v>
      </c>
      <c r="B123" s="10">
        <f>VLOOKUP(A123,source_cprd_aurum!$A$2:$H$158,8,FALSE)</f>
        <v>19.333333333333332</v>
      </c>
      <c r="C123" s="10" t="str">
        <f>VLOOKUP(A123,source_cprd_aurum!$A$2:$F$158,6,FALSE)</f>
        <v>Nurse</v>
      </c>
      <c r="D123">
        <v>0</v>
      </c>
      <c r="E123" t="s">
        <v>166</v>
      </c>
      <c r="F123" s="10">
        <v>18.607298231699254</v>
      </c>
      <c r="G123" s="10" t="s">
        <v>167</v>
      </c>
      <c r="H123" t="s">
        <v>194</v>
      </c>
      <c r="I123" s="2">
        <f t="shared" si="3"/>
        <v>0.72603510163407847</v>
      </c>
    </row>
    <row r="124" spans="1:9">
      <c r="A124" t="s">
        <v>48</v>
      </c>
      <c r="B124" s="10">
        <f>VLOOKUP(A124,source_cprd_aurum!$A$2:$H$158,8,FALSE)</f>
        <v>3.0132536123567517</v>
      </c>
      <c r="C124" s="10" t="str">
        <f>VLOOKUP(A124,source_cprd_aurum!$A$2:$F$158,6,FALSE)</f>
        <v>Admin</v>
      </c>
      <c r="D124">
        <v>38004154</v>
      </c>
      <c r="E124" t="s">
        <v>163</v>
      </c>
      <c r="F124" s="10">
        <v>1.6271569506726458</v>
      </c>
      <c r="G124" s="10" t="s">
        <v>233</v>
      </c>
      <c r="H124" t="s">
        <v>194</v>
      </c>
      <c r="I124" s="2">
        <f t="shared" si="3"/>
        <v>1.3860966616841059</v>
      </c>
    </row>
    <row r="125" spans="1:9">
      <c r="A125" t="s">
        <v>18</v>
      </c>
      <c r="B125" s="10">
        <f>VLOOKUP(A125,source_cprd_aurum!$A$2:$H$158,8,FALSE)</f>
        <v>3.0132536123567517</v>
      </c>
      <c r="C125" s="10" t="str">
        <f>VLOOKUP(A125,source_cprd_aurum!$A$2:$F$158,6,FALSE)</f>
        <v>Admin</v>
      </c>
      <c r="D125">
        <v>38004154</v>
      </c>
      <c r="E125" t="s">
        <v>163</v>
      </c>
      <c r="F125" s="10">
        <v>1.6271569506726458</v>
      </c>
      <c r="G125" s="10" t="s">
        <v>233</v>
      </c>
      <c r="H125" t="s">
        <v>194</v>
      </c>
      <c r="I125" s="2">
        <f t="shared" si="3"/>
        <v>1.3860966616841059</v>
      </c>
    </row>
    <row r="126" spans="1:9">
      <c r="A126" t="s">
        <v>27</v>
      </c>
      <c r="B126" s="10">
        <f>VLOOKUP(A126,source_cprd_aurum!$A$2:$H$158,8,FALSE)</f>
        <v>9.0542102640757349</v>
      </c>
      <c r="C126" s="10" t="str">
        <f>VLOOKUP(A126,source_cprd_aurum!$A$2:$F$158,6,FALSE)</f>
        <v>Admin</v>
      </c>
      <c r="D126">
        <v>38003781</v>
      </c>
      <c r="E126" t="s">
        <v>164</v>
      </c>
      <c r="F126" s="10">
        <v>7.6376183358246141</v>
      </c>
      <c r="G126" s="10" t="s">
        <v>233</v>
      </c>
      <c r="H126" t="s">
        <v>194</v>
      </c>
      <c r="I126" s="2">
        <f t="shared" si="3"/>
        <v>1.4165919282511208</v>
      </c>
    </row>
    <row r="127" spans="1:9">
      <c r="A127" t="s">
        <v>30</v>
      </c>
      <c r="B127" s="10">
        <f>VLOOKUP(A127,source_cprd_aurum!$A$2:$H$158,8,FALSE)</f>
        <v>19.333333333333332</v>
      </c>
      <c r="C127" s="10" t="str">
        <f>VLOOKUP(A127,source_cprd_aurum!$A$2:$F$158,6,FALSE)</f>
        <v>Nurse</v>
      </c>
      <c r="D127">
        <v>38003716</v>
      </c>
      <c r="E127" t="s">
        <v>171</v>
      </c>
      <c r="F127" s="10">
        <v>17.5</v>
      </c>
      <c r="G127" s="10" t="s">
        <v>6</v>
      </c>
      <c r="H127" t="s">
        <v>194</v>
      </c>
      <c r="I127" s="2">
        <f t="shared" si="3"/>
        <v>1.8333333333333321</v>
      </c>
    </row>
    <row r="128" spans="1:9">
      <c r="A128" t="s">
        <v>40</v>
      </c>
      <c r="B128" s="10">
        <f>VLOOKUP(A128,source_cprd_aurum!$A$2:$H$158,8,FALSE)</f>
        <v>13</v>
      </c>
      <c r="C128" s="10" t="str">
        <f>VLOOKUP(A128,source_cprd_aurum!$A$2:$F$158,6,FALSE)</f>
        <v>Non-registered other</v>
      </c>
      <c r="D128">
        <v>38003819</v>
      </c>
      <c r="E128" t="s">
        <v>174</v>
      </c>
      <c r="F128" s="10">
        <v>9.5132536123567526</v>
      </c>
      <c r="G128" s="10" t="s">
        <v>235</v>
      </c>
      <c r="H128" t="s">
        <v>194</v>
      </c>
      <c r="I128" s="2">
        <f t="shared" si="3"/>
        <v>3.4867463876432474</v>
      </c>
    </row>
    <row r="129" spans="1:9">
      <c r="A129" t="s">
        <v>76</v>
      </c>
      <c r="B129" s="10">
        <f>VLOOKUP(A129,source_cprd_aurum!$A$2:$H$158,8,FALSE)</f>
        <v>22.666666666666664</v>
      </c>
      <c r="C129" s="10" t="str">
        <f>VLOOKUP(A129,source_cprd_aurum!$A$2:$F$158,6,FALSE)</f>
        <v>AHP</v>
      </c>
      <c r="D129">
        <v>0</v>
      </c>
      <c r="E129" t="s">
        <v>166</v>
      </c>
      <c r="F129" s="10">
        <v>18.607298231699254</v>
      </c>
      <c r="G129" s="10" t="s">
        <v>167</v>
      </c>
      <c r="H129" t="s">
        <v>194</v>
      </c>
      <c r="I129" s="2">
        <f t="shared" si="3"/>
        <v>4.0593684349674106</v>
      </c>
    </row>
    <row r="130" spans="1:9">
      <c r="A130" t="s">
        <v>127</v>
      </c>
      <c r="B130" s="10">
        <f>VLOOKUP(A130,source_cprd_aurum!$A$2:$H$158,8,FALSE)</f>
        <v>22.666666666666664</v>
      </c>
      <c r="C130" s="10" t="str">
        <f>VLOOKUP(A130,source_cprd_aurum!$A$2:$F$158,6,FALSE)</f>
        <v>AHP</v>
      </c>
      <c r="D130">
        <v>0</v>
      </c>
      <c r="E130" t="s">
        <v>166</v>
      </c>
      <c r="F130" s="10">
        <v>18.607298231699254</v>
      </c>
      <c r="G130" s="10" t="s">
        <v>167</v>
      </c>
      <c r="H130" t="s">
        <v>194</v>
      </c>
      <c r="I130" s="2">
        <f t="shared" ref="I130:I157" si="4">B130-F130</f>
        <v>4.0593684349674106</v>
      </c>
    </row>
    <row r="131" spans="1:9">
      <c r="A131" t="s">
        <v>105</v>
      </c>
      <c r="B131" s="10">
        <f>VLOOKUP(A131,source_cprd_aurum!$A$2:$H$158,8,FALSE)</f>
        <v>22.666666666666664</v>
      </c>
      <c r="C131" s="10" t="str">
        <f>VLOOKUP(A131,source_cprd_aurum!$A$2:$F$158,6,FALSE)</f>
        <v>AHP</v>
      </c>
      <c r="D131">
        <v>0</v>
      </c>
      <c r="E131" t="s">
        <v>166</v>
      </c>
      <c r="F131" s="10">
        <v>18.607298231699254</v>
      </c>
      <c r="G131" s="10" t="s">
        <v>167</v>
      </c>
      <c r="H131" t="s">
        <v>194</v>
      </c>
      <c r="I131" s="2">
        <f t="shared" si="4"/>
        <v>4.0593684349674106</v>
      </c>
    </row>
    <row r="132" spans="1:9">
      <c r="A132" t="s">
        <v>34</v>
      </c>
      <c r="B132" s="10">
        <f>VLOOKUP(A132,source_cprd_aurum!$A$2:$H$158,8,FALSE)</f>
        <v>26.25</v>
      </c>
      <c r="C132" s="10" t="str">
        <f>VLOOKUP(A132,source_cprd_aurum!$A$2:$F$158,6,FALSE)</f>
        <v>Nurse</v>
      </c>
      <c r="D132">
        <v>38003731</v>
      </c>
      <c r="E132" t="s">
        <v>173</v>
      </c>
      <c r="F132" s="10">
        <v>20.916666666666668</v>
      </c>
      <c r="G132" s="10" t="s">
        <v>6</v>
      </c>
      <c r="H132" t="s">
        <v>194</v>
      </c>
      <c r="I132" s="2">
        <f t="shared" si="4"/>
        <v>5.3333333333333321</v>
      </c>
    </row>
    <row r="133" spans="1:9">
      <c r="A133" t="s">
        <v>15</v>
      </c>
      <c r="B133" s="10">
        <f>VLOOKUP(A133,source_cprd_aurum!$A$2:$H$158,8,FALSE)</f>
        <v>9.0542102640757349</v>
      </c>
      <c r="C133" s="10" t="str">
        <f>VLOOKUP(A133,source_cprd_aurum!$A$2:$F$158,6,FALSE)</f>
        <v>Admin</v>
      </c>
      <c r="D133">
        <v>38004185</v>
      </c>
      <c r="E133" t="s">
        <v>162</v>
      </c>
      <c r="F133" s="10">
        <v>2.7537942202291981</v>
      </c>
      <c r="G133" s="10" t="s">
        <v>233</v>
      </c>
      <c r="H133" t="s">
        <v>194</v>
      </c>
      <c r="I133" s="2">
        <f t="shared" si="4"/>
        <v>6.3004160438465373</v>
      </c>
    </row>
    <row r="134" spans="1:9">
      <c r="A134" t="s">
        <v>115</v>
      </c>
      <c r="B134" s="10">
        <f>VLOOKUP(A134,source_cprd_aurum!$A$2:$H$158,8,FALSE)</f>
        <v>26.5</v>
      </c>
      <c r="C134" s="10" t="str">
        <f>VLOOKUP(A134,source_cprd_aurum!$A$2:$F$158,6,FALSE)</f>
        <v>AHP</v>
      </c>
      <c r="D134">
        <v>0</v>
      </c>
      <c r="E134" t="s">
        <v>166</v>
      </c>
      <c r="F134" s="10">
        <v>18.607298231699254</v>
      </c>
      <c r="G134" s="10" t="s">
        <v>167</v>
      </c>
      <c r="H134" t="s">
        <v>194</v>
      </c>
      <c r="I134" s="2">
        <f t="shared" si="4"/>
        <v>7.8927017683007463</v>
      </c>
    </row>
    <row r="135" spans="1:9">
      <c r="A135" t="s">
        <v>131</v>
      </c>
      <c r="B135" s="10">
        <f>VLOOKUP(A135,source_cprd_aurum!$A$2:$H$158,8,FALSE)</f>
        <v>26.5</v>
      </c>
      <c r="C135" s="10" t="str">
        <f>VLOOKUP(A135,source_cprd_aurum!$A$2:$F$158,6,FALSE)</f>
        <v>AHP</v>
      </c>
      <c r="D135">
        <v>0</v>
      </c>
      <c r="E135" t="s">
        <v>166</v>
      </c>
      <c r="F135" s="10">
        <v>18.607298231699254</v>
      </c>
      <c r="G135" s="10" t="s">
        <v>167</v>
      </c>
      <c r="H135" t="s">
        <v>194</v>
      </c>
      <c r="I135" s="2">
        <f t="shared" si="4"/>
        <v>7.8927017683007463</v>
      </c>
    </row>
    <row r="136" spans="1:9">
      <c r="A136" t="s">
        <v>80</v>
      </c>
      <c r="B136" s="10">
        <f>VLOOKUP(A136,source_cprd_aurum!$A$2:$H$158,8,FALSE)</f>
        <v>35.333333333333329</v>
      </c>
      <c r="C136" s="10" t="str">
        <f>VLOOKUP(A136,source_cprd_aurum!$A$2:$F$158,6,FALSE)</f>
        <v>AHP</v>
      </c>
      <c r="D136">
        <v>0</v>
      </c>
      <c r="E136" t="s">
        <v>166</v>
      </c>
      <c r="F136" s="10">
        <v>18.607298231699254</v>
      </c>
      <c r="G136" s="10" t="s">
        <v>167</v>
      </c>
      <c r="H136" t="s">
        <v>194</v>
      </c>
      <c r="I136" s="2">
        <f t="shared" si="4"/>
        <v>16.726035101634075</v>
      </c>
    </row>
    <row r="137" spans="1:9">
      <c r="A137" t="s">
        <v>72</v>
      </c>
      <c r="B137" s="10">
        <f>VLOOKUP(A137,source_cprd_aurum!$A$2:$H$158,8,FALSE)</f>
        <v>35.333333333333329</v>
      </c>
      <c r="C137" s="10" t="str">
        <f>VLOOKUP(A137,source_cprd_aurum!$A$2:$F$158,6,FALSE)</f>
        <v>AHP</v>
      </c>
      <c r="D137">
        <v>0</v>
      </c>
      <c r="E137" t="s">
        <v>166</v>
      </c>
      <c r="F137" s="10">
        <v>18.607298231699254</v>
      </c>
      <c r="G137" s="10" t="s">
        <v>167</v>
      </c>
      <c r="H137" t="s">
        <v>194</v>
      </c>
      <c r="I137" s="2">
        <f t="shared" si="4"/>
        <v>16.726035101634075</v>
      </c>
    </row>
    <row r="138" spans="1:9">
      <c r="A138" t="s">
        <v>148</v>
      </c>
      <c r="B138" s="10">
        <f>VLOOKUP(A138,source_cprd_aurum!$A$2:$H$158,8,FALSE)</f>
        <v>55.5</v>
      </c>
      <c r="C138" s="10" t="str">
        <f>VLOOKUP(A138,source_cprd_aurum!$A$2:$F$158,6,FALSE)</f>
        <v>Medic non-GP</v>
      </c>
      <c r="D138">
        <v>0</v>
      </c>
      <c r="E138" t="s">
        <v>166</v>
      </c>
      <c r="F138" s="10">
        <v>18.607298231699254</v>
      </c>
      <c r="G138" s="10" t="s">
        <v>167</v>
      </c>
      <c r="H138" t="s">
        <v>194</v>
      </c>
      <c r="I138" s="2">
        <f t="shared" si="4"/>
        <v>36.892701768300746</v>
      </c>
    </row>
    <row r="139" spans="1:9">
      <c r="A139" t="s">
        <v>74</v>
      </c>
      <c r="B139" s="10">
        <f>VLOOKUP(A139,source_cprd_aurum!$A$2:$H$158,8,FALSE)</f>
        <v>55.5</v>
      </c>
      <c r="C139" s="10" t="str">
        <f>VLOOKUP(A139,source_cprd_aurum!$A$2:$F$158,6,FALSE)</f>
        <v>Medic non-GP</v>
      </c>
      <c r="D139">
        <v>0</v>
      </c>
      <c r="E139" t="s">
        <v>166</v>
      </c>
      <c r="F139" s="10">
        <v>18.607298231699254</v>
      </c>
      <c r="G139" s="10" t="s">
        <v>167</v>
      </c>
      <c r="H139" t="s">
        <v>194</v>
      </c>
      <c r="I139" s="2">
        <f t="shared" si="4"/>
        <v>36.892701768300746</v>
      </c>
    </row>
    <row r="140" spans="1:9">
      <c r="A140" t="s">
        <v>86</v>
      </c>
      <c r="B140" s="10">
        <f>VLOOKUP(A140,source_cprd_aurum!$A$2:$H$158,8,FALSE)</f>
        <v>55.5</v>
      </c>
      <c r="C140" s="10" t="str">
        <f>VLOOKUP(A140,source_cprd_aurum!$A$2:$F$158,6,FALSE)</f>
        <v>Medic non-GP</v>
      </c>
      <c r="D140">
        <v>0</v>
      </c>
      <c r="E140" t="s">
        <v>166</v>
      </c>
      <c r="F140" s="10">
        <v>18.607298231699254</v>
      </c>
      <c r="G140" s="10" t="s">
        <v>167</v>
      </c>
      <c r="H140" t="s">
        <v>194</v>
      </c>
      <c r="I140" s="2">
        <f t="shared" si="4"/>
        <v>36.892701768300746</v>
      </c>
    </row>
    <row r="141" spans="1:9">
      <c r="A141" t="s">
        <v>71</v>
      </c>
      <c r="B141" s="10">
        <f>VLOOKUP(A141,source_cprd_aurum!$A$2:$H$158,8,FALSE)</f>
        <v>55.5</v>
      </c>
      <c r="C141" s="10" t="str">
        <f>VLOOKUP(A141,source_cprd_aurum!$A$2:$F$158,6,FALSE)</f>
        <v>Medic non-GP</v>
      </c>
      <c r="D141">
        <v>0</v>
      </c>
      <c r="E141" t="s">
        <v>166</v>
      </c>
      <c r="F141" s="10">
        <v>18.607298231699254</v>
      </c>
      <c r="G141" s="10" t="s">
        <v>167</v>
      </c>
      <c r="H141" t="s">
        <v>194</v>
      </c>
      <c r="I141" s="2">
        <f t="shared" si="4"/>
        <v>36.892701768300746</v>
      </c>
    </row>
    <row r="142" spans="1:9">
      <c r="A142" t="s">
        <v>112</v>
      </c>
      <c r="B142" s="10">
        <f>VLOOKUP(A142,source_cprd_aurum!$A$2:$H$158,8,FALSE)</f>
        <v>55.5</v>
      </c>
      <c r="C142" s="10" t="str">
        <f>VLOOKUP(A142,source_cprd_aurum!$A$2:$F$158,6,FALSE)</f>
        <v>Medic non-GP</v>
      </c>
      <c r="D142">
        <v>0</v>
      </c>
      <c r="E142" t="s">
        <v>166</v>
      </c>
      <c r="F142" s="10">
        <v>18.607298231699254</v>
      </c>
      <c r="G142" s="10" t="s">
        <v>167</v>
      </c>
      <c r="H142" t="s">
        <v>194</v>
      </c>
      <c r="I142" s="2">
        <f t="shared" si="4"/>
        <v>36.892701768300746</v>
      </c>
    </row>
    <row r="143" spans="1:9">
      <c r="A143" t="s">
        <v>49</v>
      </c>
      <c r="B143" s="10">
        <f>VLOOKUP(A143,source_cprd_aurum!$A$2:$H$158,8,FALSE)</f>
        <v>55.5</v>
      </c>
      <c r="C143" s="10" t="str">
        <f>VLOOKUP(A143,source_cprd_aurum!$A$2:$F$158,6,FALSE)</f>
        <v>Medic non-GP</v>
      </c>
      <c r="D143">
        <v>0</v>
      </c>
      <c r="E143" t="s">
        <v>166</v>
      </c>
      <c r="F143" s="10">
        <v>18.607298231699254</v>
      </c>
      <c r="G143" s="10" t="s">
        <v>167</v>
      </c>
      <c r="H143" t="s">
        <v>194</v>
      </c>
      <c r="I143" s="2">
        <f t="shared" si="4"/>
        <v>36.892701768300746</v>
      </c>
    </row>
    <row r="144" spans="1:9">
      <c r="A144" t="s">
        <v>92</v>
      </c>
      <c r="B144" s="10">
        <f>VLOOKUP(A144,source_cprd_aurum!$A$2:$H$158,8,FALSE)</f>
        <v>55.5</v>
      </c>
      <c r="C144" s="10" t="str">
        <f>VLOOKUP(A144,source_cprd_aurum!$A$2:$F$158,6,FALSE)</f>
        <v>Medic non-GP</v>
      </c>
      <c r="D144">
        <v>0</v>
      </c>
      <c r="E144" t="s">
        <v>166</v>
      </c>
      <c r="F144" s="10">
        <v>18.607298231699254</v>
      </c>
      <c r="G144" s="10" t="s">
        <v>167</v>
      </c>
      <c r="H144" t="s">
        <v>194</v>
      </c>
      <c r="I144" s="2">
        <f t="shared" si="4"/>
        <v>36.892701768300746</v>
      </c>
    </row>
    <row r="145" spans="1:9">
      <c r="A145" t="s">
        <v>111</v>
      </c>
      <c r="B145" s="10">
        <f>VLOOKUP(A145,source_cprd_aurum!$A$2:$H$158,8,FALSE)</f>
        <v>55.5</v>
      </c>
      <c r="C145" s="10" t="str">
        <f>VLOOKUP(A145,source_cprd_aurum!$A$2:$F$158,6,FALSE)</f>
        <v>Medic non-GP</v>
      </c>
      <c r="D145">
        <v>0</v>
      </c>
      <c r="E145" t="s">
        <v>166</v>
      </c>
      <c r="F145" s="10">
        <v>18.607298231699254</v>
      </c>
      <c r="G145" s="10" t="s">
        <v>167</v>
      </c>
      <c r="H145" t="s">
        <v>194</v>
      </c>
      <c r="I145" s="2">
        <f t="shared" si="4"/>
        <v>36.892701768300746</v>
      </c>
    </row>
    <row r="146" spans="1:9">
      <c r="A146" t="s">
        <v>61</v>
      </c>
      <c r="B146" s="10">
        <f>VLOOKUP(A146,source_cprd_aurum!$A$2:$H$158,8,FALSE)</f>
        <v>55.5</v>
      </c>
      <c r="C146" s="10" t="str">
        <f>VLOOKUP(A146,source_cprd_aurum!$A$2:$F$158,6,FALSE)</f>
        <v>Nurse</v>
      </c>
      <c r="D146">
        <v>0</v>
      </c>
      <c r="E146" t="s">
        <v>166</v>
      </c>
      <c r="F146" s="10">
        <v>18.607298231699254</v>
      </c>
      <c r="G146" s="10" t="s">
        <v>167</v>
      </c>
      <c r="H146" t="s">
        <v>194</v>
      </c>
      <c r="I146" s="2">
        <f t="shared" si="4"/>
        <v>36.892701768300746</v>
      </c>
    </row>
    <row r="147" spans="1:9">
      <c r="A147" t="s">
        <v>128</v>
      </c>
      <c r="B147" s="10">
        <f>VLOOKUP(A147,source_cprd_aurum!$A$2:$H$158,8,FALSE)</f>
        <v>55.5</v>
      </c>
      <c r="C147" s="10" t="str">
        <f>VLOOKUP(A147,source_cprd_aurum!$A$2:$F$158,6,FALSE)</f>
        <v>Medic non-GP</v>
      </c>
      <c r="D147">
        <v>0</v>
      </c>
      <c r="E147" t="s">
        <v>166</v>
      </c>
      <c r="F147" s="10">
        <v>18.607298231699254</v>
      </c>
      <c r="G147" s="10" t="s">
        <v>167</v>
      </c>
      <c r="H147" t="s">
        <v>194</v>
      </c>
      <c r="I147" s="2">
        <f t="shared" si="4"/>
        <v>36.892701768300746</v>
      </c>
    </row>
    <row r="148" spans="1:9">
      <c r="A148" t="s">
        <v>26</v>
      </c>
      <c r="B148" s="10">
        <f>VLOOKUP(A148,source_cprd_aurum!$A$2:$H$158,8,FALSE)</f>
        <v>55.5</v>
      </c>
      <c r="C148" s="10" t="str">
        <f>VLOOKUP(A148,source_cprd_aurum!$A$2:$F$158,6,FALSE)</f>
        <v>Medic non-GP</v>
      </c>
      <c r="D148">
        <v>0</v>
      </c>
      <c r="E148" t="s">
        <v>166</v>
      </c>
      <c r="F148" s="10">
        <v>18.607298231699254</v>
      </c>
      <c r="G148" s="10" t="s">
        <v>167</v>
      </c>
      <c r="H148" t="s">
        <v>194</v>
      </c>
      <c r="I148" s="2">
        <f t="shared" si="4"/>
        <v>36.892701768300746</v>
      </c>
    </row>
    <row r="149" spans="1:9">
      <c r="A149" t="s">
        <v>20</v>
      </c>
      <c r="B149" s="10">
        <f>VLOOKUP(A149,source_cprd_aurum!$A$2:$H$158,8,FALSE)</f>
        <v>55.5</v>
      </c>
      <c r="C149" s="10" t="str">
        <f>VLOOKUP(A149,source_cprd_aurum!$A$2:$F$158,6,FALSE)</f>
        <v>GP</v>
      </c>
      <c r="D149">
        <v>0</v>
      </c>
      <c r="E149" t="s">
        <v>166</v>
      </c>
      <c r="F149" s="10">
        <v>18.607298231699254</v>
      </c>
      <c r="G149" s="10" t="s">
        <v>167</v>
      </c>
      <c r="H149" t="s">
        <v>194</v>
      </c>
      <c r="I149" s="2">
        <f t="shared" si="4"/>
        <v>36.892701768300746</v>
      </c>
    </row>
    <row r="150" spans="1:9">
      <c r="A150" t="s">
        <v>24</v>
      </c>
      <c r="B150" s="10">
        <f>VLOOKUP(A150,source_cprd_aurum!$A$2:$H$158,8,FALSE)</f>
        <v>55.5</v>
      </c>
      <c r="C150" s="10" t="str">
        <f>VLOOKUP(A150,source_cprd_aurum!$A$2:$F$158,6,FALSE)</f>
        <v>GP</v>
      </c>
      <c r="D150">
        <v>0</v>
      </c>
      <c r="E150" t="s">
        <v>166</v>
      </c>
      <c r="F150" s="10">
        <v>18.607298231699254</v>
      </c>
      <c r="G150" s="10" t="s">
        <v>167</v>
      </c>
      <c r="H150" t="s">
        <v>194</v>
      </c>
      <c r="I150" s="2">
        <f t="shared" si="4"/>
        <v>36.892701768300746</v>
      </c>
    </row>
    <row r="151" spans="1:9">
      <c r="A151" t="s">
        <v>17</v>
      </c>
      <c r="B151" s="10">
        <f>VLOOKUP(A151,source_cprd_aurum!$A$2:$H$158,8,FALSE)</f>
        <v>55.5</v>
      </c>
      <c r="C151" s="10" t="str">
        <f>VLOOKUP(A151,source_cprd_aurum!$A$2:$F$158,6,FALSE)</f>
        <v>GP</v>
      </c>
      <c r="D151">
        <v>0</v>
      </c>
      <c r="E151" t="s">
        <v>166</v>
      </c>
      <c r="F151" s="10">
        <v>18.607298231699254</v>
      </c>
      <c r="G151" s="10" t="s">
        <v>167</v>
      </c>
      <c r="H151" t="s">
        <v>194</v>
      </c>
      <c r="I151" s="2">
        <f t="shared" si="4"/>
        <v>36.892701768300746</v>
      </c>
    </row>
    <row r="152" spans="1:9">
      <c r="A152" t="s">
        <v>79</v>
      </c>
      <c r="B152" s="10">
        <f>VLOOKUP(A152,source_cprd_aurum!$A$2:$H$158,8,FALSE)</f>
        <v>55.5</v>
      </c>
      <c r="C152" s="10" t="str">
        <f>VLOOKUP(A152,source_cprd_aurum!$A$2:$F$158,6,FALSE)</f>
        <v>Medic non-GP</v>
      </c>
      <c r="D152">
        <v>0</v>
      </c>
      <c r="E152" t="s">
        <v>166</v>
      </c>
      <c r="F152" s="10">
        <v>18.607298231699254</v>
      </c>
      <c r="G152" s="10" t="s">
        <v>167</v>
      </c>
      <c r="H152" t="s">
        <v>194</v>
      </c>
      <c r="I152" s="2">
        <f t="shared" si="4"/>
        <v>36.892701768300746</v>
      </c>
    </row>
    <row r="153" spans="1:9">
      <c r="A153" t="s">
        <v>136</v>
      </c>
      <c r="B153" s="10">
        <f>VLOOKUP(A153,source_cprd_aurum!$A$2:$H$158,8,FALSE)</f>
        <v>55.5</v>
      </c>
      <c r="C153" s="10" t="str">
        <f>VLOOKUP(A153,source_cprd_aurum!$A$2:$F$158,6,FALSE)</f>
        <v>Medic non-GP</v>
      </c>
      <c r="D153">
        <v>0</v>
      </c>
      <c r="E153" t="s">
        <v>166</v>
      </c>
      <c r="F153" s="10">
        <v>18.607298231699254</v>
      </c>
      <c r="G153" s="10" t="s">
        <v>167</v>
      </c>
      <c r="H153" t="s">
        <v>194</v>
      </c>
      <c r="I153" s="2">
        <f t="shared" si="4"/>
        <v>36.892701768300746</v>
      </c>
    </row>
    <row r="154" spans="1:9">
      <c r="A154" t="s">
        <v>155</v>
      </c>
      <c r="B154" s="10">
        <f>VLOOKUP(A154,source_cprd_aurum!$A$2:$H$158,8,FALSE)</f>
        <v>55.5</v>
      </c>
      <c r="C154" s="10" t="str">
        <f>VLOOKUP(A154,source_cprd_aurum!$A$2:$F$158,6,FALSE)</f>
        <v>Medic non-GP</v>
      </c>
      <c r="D154">
        <v>0</v>
      </c>
      <c r="E154" t="s">
        <v>166</v>
      </c>
      <c r="F154" s="10">
        <v>18.607298231699254</v>
      </c>
      <c r="G154" s="10" t="s">
        <v>167</v>
      </c>
      <c r="H154" t="s">
        <v>194</v>
      </c>
      <c r="I154" s="2">
        <f t="shared" si="4"/>
        <v>36.892701768300746</v>
      </c>
    </row>
    <row r="155" spans="1:9">
      <c r="A155" t="s">
        <v>66</v>
      </c>
      <c r="B155" s="10">
        <f>VLOOKUP(A155,source_cprd_aurum!$A$2:$H$158,8,FALSE)</f>
        <v>74</v>
      </c>
      <c r="C155" s="10" t="str">
        <f>VLOOKUP(A155,source_cprd_aurum!$A$2:$F$158,6,FALSE)</f>
        <v>Non-registered other</v>
      </c>
      <c r="D155">
        <v>38003794</v>
      </c>
      <c r="E155" t="s">
        <v>177</v>
      </c>
      <c r="F155" s="10">
        <v>35.944444444444443</v>
      </c>
      <c r="G155" s="10" t="s">
        <v>235</v>
      </c>
      <c r="H155" t="s">
        <v>318</v>
      </c>
      <c r="I155" s="2">
        <f t="shared" si="4"/>
        <v>38.055555555555557</v>
      </c>
    </row>
    <row r="156" spans="1:9">
      <c r="A156" t="s">
        <v>29</v>
      </c>
      <c r="B156" s="10">
        <f>VLOOKUP(A156,source_cprd_aurum!$A$2:$H$158,8,FALSE)</f>
        <v>74</v>
      </c>
      <c r="C156" s="10" t="str">
        <f>VLOOKUP(A156,source_cprd_aurum!$A$2:$F$158,6,FALSE)</f>
        <v>GP</v>
      </c>
      <c r="D156">
        <v>38004512</v>
      </c>
      <c r="E156" t="s">
        <v>97</v>
      </c>
      <c r="F156" s="10">
        <v>23.467787742899851</v>
      </c>
      <c r="G156" s="10" t="s">
        <v>235</v>
      </c>
      <c r="H156" t="s">
        <v>194</v>
      </c>
      <c r="I156" s="2">
        <f t="shared" si="4"/>
        <v>50.532212257100149</v>
      </c>
    </row>
    <row r="157" spans="1:9">
      <c r="A157" t="s">
        <v>84</v>
      </c>
      <c r="B157" s="10">
        <f>VLOOKUP(A157,source_cprd_aurum!$A$2:$H$158,8,FALSE)</f>
        <v>74</v>
      </c>
      <c r="C157" s="10" t="str">
        <f>VLOOKUP(A157,source_cprd_aurum!$A$2:$F$158,6,FALSE)</f>
        <v>AHP</v>
      </c>
      <c r="D157">
        <v>0</v>
      </c>
      <c r="E157" t="s">
        <v>166</v>
      </c>
      <c r="F157" s="10">
        <v>18.607298231699254</v>
      </c>
      <c r="G157" s="10" t="s">
        <v>167</v>
      </c>
      <c r="H157" t="s">
        <v>194</v>
      </c>
      <c r="I157" s="2">
        <f t="shared" si="4"/>
        <v>55.392701768300746</v>
      </c>
    </row>
  </sheetData>
  <autoFilter ref="A1:I157" xr:uid="{C0CF1928-6488-4AD1-B22F-BC295F5F938E}">
    <sortState xmlns:xlrd2="http://schemas.microsoft.com/office/spreadsheetml/2017/richdata2" ref="A2:I157">
      <sortCondition ref="I1:I157"/>
    </sortState>
  </autoFilter>
  <conditionalFormatting sqref="A158:A1048576 A1:A156">
    <cfRule type="duplicateValues" dxfId="1" priority="3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B1DC-0936-4082-9C45-DE37E4E6918D}">
  <dimension ref="D2:O32"/>
  <sheetViews>
    <sheetView topLeftCell="A7" workbookViewId="0">
      <selection activeCell="E23" sqref="E23"/>
    </sheetView>
  </sheetViews>
  <sheetFormatPr defaultColWidth="9.140625" defaultRowHeight="15"/>
  <cols>
    <col min="1" max="16384" width="9.140625" style="5"/>
  </cols>
  <sheetData>
    <row r="2" spans="4:15">
      <c r="D2" s="6" t="s">
        <v>196</v>
      </c>
    </row>
    <row r="4" spans="4:15">
      <c r="D4" s="6" t="s">
        <v>197</v>
      </c>
      <c r="O4" s="6" t="s">
        <v>198</v>
      </c>
    </row>
    <row r="7" spans="4:15">
      <c r="D7" s="5" t="s">
        <v>199</v>
      </c>
      <c r="O7" s="5" t="s">
        <v>200</v>
      </c>
    </row>
    <row r="8" spans="4:15">
      <c r="D8" s="5" t="s">
        <v>201</v>
      </c>
      <c r="O8" s="5" t="s">
        <v>202</v>
      </c>
    </row>
    <row r="9" spans="4:15">
      <c r="D9" s="5" t="s">
        <v>203</v>
      </c>
      <c r="O9" s="5" t="s">
        <v>204</v>
      </c>
    </row>
    <row r="10" spans="4:15">
      <c r="D10" s="5" t="s">
        <v>205</v>
      </c>
      <c r="O10" s="5" t="s">
        <v>206</v>
      </c>
    </row>
    <row r="11" spans="4:15">
      <c r="O11" s="5" t="s">
        <v>207</v>
      </c>
    </row>
    <row r="12" spans="4:15">
      <c r="O12" s="5" t="s">
        <v>208</v>
      </c>
    </row>
    <row r="13" spans="4:15">
      <c r="D13" s="5" t="s">
        <v>209</v>
      </c>
    </row>
    <row r="14" spans="4:15">
      <c r="D14" s="5" t="s">
        <v>210</v>
      </c>
    </row>
    <row r="15" spans="4:15">
      <c r="O15" s="5" t="s">
        <v>211</v>
      </c>
    </row>
    <row r="16" spans="4:15">
      <c r="D16" s="5" t="s">
        <v>211</v>
      </c>
      <c r="O16" s="5" t="s">
        <v>212</v>
      </c>
    </row>
    <row r="17" spans="4:15">
      <c r="D17" s="5" t="s">
        <v>213</v>
      </c>
      <c r="O17" s="5" t="s">
        <v>214</v>
      </c>
    </row>
    <row r="18" spans="4:15">
      <c r="D18" s="5" t="s">
        <v>215</v>
      </c>
      <c r="O18" s="5" t="s">
        <v>216</v>
      </c>
    </row>
    <row r="19" spans="4:15">
      <c r="D19" s="5" t="s">
        <v>217</v>
      </c>
      <c r="O19" s="5" t="s">
        <v>218</v>
      </c>
    </row>
    <row r="20" spans="4:15">
      <c r="D20" s="5" t="s">
        <v>219</v>
      </c>
      <c r="O20" s="5" t="s">
        <v>220</v>
      </c>
    </row>
    <row r="21" spans="4:15">
      <c r="D21" s="5" t="s">
        <v>221</v>
      </c>
      <c r="O21" s="5" t="s">
        <v>222</v>
      </c>
    </row>
    <row r="22" spans="4:15">
      <c r="O22" s="5" t="s">
        <v>223</v>
      </c>
    </row>
    <row r="23" spans="4:15">
      <c r="D23" s="5" t="s">
        <v>224</v>
      </c>
    </row>
    <row r="24" spans="4:15">
      <c r="D24" s="5" t="s">
        <v>225</v>
      </c>
    </row>
    <row r="27" spans="4:15">
      <c r="D27" s="6" t="s">
        <v>226</v>
      </c>
    </row>
    <row r="28" spans="4:15">
      <c r="D28" s="5" t="s">
        <v>227</v>
      </c>
    </row>
    <row r="29" spans="4:15">
      <c r="D29" s="5" t="s">
        <v>228</v>
      </c>
    </row>
    <row r="30" spans="4:15">
      <c r="D30" s="5" t="s">
        <v>229</v>
      </c>
    </row>
    <row r="31" spans="4:15">
      <c r="D31" s="5" t="s">
        <v>230</v>
      </c>
    </row>
    <row r="32" spans="4:15">
      <c r="D32" s="5" t="s">
        <v>231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82773F43766A499835CC578A468AA5" ma:contentTypeVersion="13" ma:contentTypeDescription="Create a new document." ma:contentTypeScope="" ma:versionID="3e283e4dfac8145223aed60363ec6d7b">
  <xsd:schema xmlns:xsd="http://www.w3.org/2001/XMLSchema" xmlns:xs="http://www.w3.org/2001/XMLSchema" xmlns:p="http://schemas.microsoft.com/office/2006/metadata/properties" xmlns:ns3="23b75f3a-874c-408d-a806-d7f3e6e8c69e" xmlns:ns4="b7fa4fdd-4bb0-49ae-bd19-51a8e137ac36" targetNamespace="http://schemas.microsoft.com/office/2006/metadata/properties" ma:root="true" ma:fieldsID="0f31fbf1546f85e83668de52698bbf0a" ns3:_="" ns4:_="">
    <xsd:import namespace="23b75f3a-874c-408d-a806-d7f3e6e8c69e"/>
    <xsd:import namespace="b7fa4fdd-4bb0-49ae-bd19-51a8e137ac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75f3a-874c-408d-a806-d7f3e6e8c6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a4fdd-4bb0-49ae-bd19-51a8e137ac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b75f3a-874c-408d-a806-d7f3e6e8c69e" xsi:nil="true"/>
  </documentManagement>
</p:properties>
</file>

<file path=customXml/itemProps1.xml><?xml version="1.0" encoding="utf-8"?>
<ds:datastoreItem xmlns:ds="http://schemas.openxmlformats.org/officeDocument/2006/customXml" ds:itemID="{CC485943-DEE3-4224-BBD1-26D29FF54D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D188A2-B45F-4C54-8361-C2D76456C8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75f3a-874c-408d-a806-d7f3e6e8c69e"/>
    <ds:schemaRef ds:uri="b7fa4fdd-4bb0-49ae-bd19-51a8e137ac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CD590F-80B3-42A6-94B2-E4FCED13FAA4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23b75f3a-874c-408d-a806-d7f3e6e8c69e"/>
    <ds:schemaRef ds:uri="http://schemas.microsoft.com/office/infopath/2007/PartnerControls"/>
    <ds:schemaRef ds:uri="http://schemas.openxmlformats.org/package/2006/metadata/core-properties"/>
    <ds:schemaRef ds:uri="b7fa4fdd-4bb0-49ae-bd19-51a8e137ac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source_cprd_aurum</vt:lpstr>
      <vt:lpstr>omop</vt:lpstr>
      <vt:lpstr>master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Fabiano</dc:creator>
  <cp:keywords/>
  <dc:description/>
  <cp:lastModifiedBy>Gianluca Fabiano</cp:lastModifiedBy>
  <cp:revision/>
  <cp:lastPrinted>2025-07-22T14:03:57Z</cp:lastPrinted>
  <dcterms:created xsi:type="dcterms:W3CDTF">2025-07-03T15:30:13Z</dcterms:created>
  <dcterms:modified xsi:type="dcterms:W3CDTF">2025-09-04T13:11:35Z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0x010100F082773F43766A499835CC578A468AA5</vt:lpwstr>
  </property>
  <property fmtid="{D5CDD505-2E9C-101B-9397-08002B2CF9AE}" pid="3" name="MediaServiceImageTags">
    <vt:lpwstr/>
  </property>
</Properties>
</file>