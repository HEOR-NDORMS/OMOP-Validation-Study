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15" documentId="8_{90017A8F-E79D-4FA7-B915-BAB33FF8859D}" xr6:coauthVersionLast="47" xr6:coauthVersionMax="47" xr10:uidLastSave="{2173071D-E7DF-4CC2-A79E-E4132B460B6A}"/>
  <bookViews>
    <workbookView xWindow="28680" yWindow="-120" windowWidth="29040" windowHeight="15720" xr2:uid="{00000000-000D-0000-FFFF-FFFF00000000}"/>
  </bookViews>
  <sheets>
    <sheet name="source_cprd_aurum" sheetId="1" r:id="rId1"/>
    <sheet name="omop_standard" sheetId="3" r:id="rId2"/>
    <sheet name="omop_source" sheetId="5" r:id="rId3"/>
    <sheet name="master_omop_stand_source" sheetId="6" r:id="rId4"/>
    <sheet name="notes" sheetId="2" r:id="rId5"/>
  </sheets>
  <definedNames>
    <definedName name="_xlnm._FilterDatabase" localSheetId="3" hidden="1">master_omop_stand_source!$A$1:$G$180</definedName>
    <definedName name="_xlnm._FilterDatabase" localSheetId="2" hidden="1">omop_source!$A$1:$I$180</definedName>
    <definedName name="_xlnm._FilterDatabase" localSheetId="1" hidden="1">omop_standard!$A$1:$J$38</definedName>
    <definedName name="_xlnm._FilterDatabase" localSheetId="0" hidden="1">source_cprd_aurum!$A$1:$I$158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5" i="1" l="1"/>
  <c r="C179" i="6"/>
  <c r="B179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79" i="6"/>
  <c r="G80" i="6"/>
  <c r="G81" i="6"/>
  <c r="G99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2" i="6"/>
  <c r="I6" i="3"/>
  <c r="F23" i="6" s="1"/>
  <c r="H180" i="5"/>
  <c r="I14" i="3"/>
  <c r="H158" i="1"/>
  <c r="C19" i="6"/>
  <c r="C82" i="6"/>
  <c r="C155" i="6"/>
  <c r="C134" i="6"/>
  <c r="C101" i="6"/>
  <c r="C44" i="6"/>
  <c r="C102" i="6"/>
  <c r="C20" i="6"/>
  <c r="C153" i="6"/>
  <c r="C121" i="6"/>
  <c r="C45" i="6"/>
  <c r="C135" i="6"/>
  <c r="C21" i="6"/>
  <c r="C172" i="6"/>
  <c r="C83" i="6"/>
  <c r="C122" i="6"/>
  <c r="C150" i="6"/>
  <c r="C140" i="6"/>
  <c r="C22" i="6"/>
  <c r="C79" i="6"/>
  <c r="C8" i="6"/>
  <c r="C2" i="6"/>
  <c r="C123" i="6"/>
  <c r="C175" i="6"/>
  <c r="C103" i="6"/>
  <c r="C23" i="6"/>
  <c r="C124" i="6"/>
  <c r="C3" i="6"/>
  <c r="C125" i="6"/>
  <c r="C157" i="6"/>
  <c r="C104" i="6"/>
  <c r="C105" i="6"/>
  <c r="C14" i="6"/>
  <c r="C46" i="6"/>
  <c r="C9" i="6"/>
  <c r="C47" i="6"/>
  <c r="C126" i="6"/>
  <c r="C48" i="6"/>
  <c r="C24" i="6"/>
  <c r="C171" i="6"/>
  <c r="C106" i="6"/>
  <c r="C160" i="6"/>
  <c r="C168" i="6"/>
  <c r="C80" i="6"/>
  <c r="C165" i="6"/>
  <c r="C25" i="6"/>
  <c r="C107" i="6"/>
  <c r="C127" i="6"/>
  <c r="C49" i="6"/>
  <c r="C167" i="6"/>
  <c r="C50" i="6"/>
  <c r="C173" i="6"/>
  <c r="C176" i="6"/>
  <c r="C51" i="6"/>
  <c r="C108" i="6"/>
  <c r="C109" i="6"/>
  <c r="C144" i="6"/>
  <c r="C52" i="6"/>
  <c r="C161" i="6"/>
  <c r="C164" i="6"/>
  <c r="C26" i="6"/>
  <c r="C170" i="6"/>
  <c r="C53" i="6"/>
  <c r="C54" i="6"/>
  <c r="C55" i="6"/>
  <c r="C84" i="6"/>
  <c r="C56" i="6"/>
  <c r="C85" i="6"/>
  <c r="C128" i="6"/>
  <c r="C86" i="6"/>
  <c r="C159" i="6"/>
  <c r="C110" i="6"/>
  <c r="C10" i="6"/>
  <c r="C87" i="6"/>
  <c r="C78" i="6"/>
  <c r="C136" i="6"/>
  <c r="C57" i="6"/>
  <c r="C88" i="6"/>
  <c r="C111" i="6"/>
  <c r="C178" i="6"/>
  <c r="C81" i="6"/>
  <c r="C13" i="6"/>
  <c r="C89" i="6"/>
  <c r="C141" i="6"/>
  <c r="C90" i="6"/>
  <c r="C169" i="6"/>
  <c r="C58" i="6"/>
  <c r="C27" i="6"/>
  <c r="C91" i="6"/>
  <c r="C59" i="6"/>
  <c r="C60" i="6"/>
  <c r="C61" i="6"/>
  <c r="C15" i="6"/>
  <c r="C162" i="6"/>
  <c r="C129" i="6"/>
  <c r="C137" i="6"/>
  <c r="C112" i="6"/>
  <c r="C92" i="6"/>
  <c r="C139" i="6"/>
  <c r="C113" i="6"/>
  <c r="C152" i="6"/>
  <c r="C145" i="6"/>
  <c r="C114" i="6"/>
  <c r="C62" i="6"/>
  <c r="C11" i="6"/>
  <c r="C28" i="6"/>
  <c r="C63" i="6"/>
  <c r="C29" i="6"/>
  <c r="C64" i="6"/>
  <c r="C142" i="6"/>
  <c r="C30" i="6"/>
  <c r="C146" i="6"/>
  <c r="C7" i="6"/>
  <c r="C65" i="6"/>
  <c r="C66" i="6"/>
  <c r="C5" i="6"/>
  <c r="C115" i="6"/>
  <c r="C93" i="6"/>
  <c r="C116" i="6"/>
  <c r="C117" i="6"/>
  <c r="C31" i="6"/>
  <c r="C143" i="6"/>
  <c r="C118" i="6"/>
  <c r="C32" i="6"/>
  <c r="C12" i="6"/>
  <c r="C166" i="6"/>
  <c r="C130" i="6"/>
  <c r="C67" i="6"/>
  <c r="C156" i="6"/>
  <c r="C148" i="6"/>
  <c r="C131" i="6"/>
  <c r="C174" i="6"/>
  <c r="C158" i="6"/>
  <c r="C33" i="6"/>
  <c r="C4" i="6"/>
  <c r="C132" i="6"/>
  <c r="C16" i="6"/>
  <c r="C177" i="6"/>
  <c r="C119" i="6"/>
  <c r="C68" i="6"/>
  <c r="C6" i="6"/>
  <c r="C94" i="6"/>
  <c r="C69" i="6"/>
  <c r="C147" i="6"/>
  <c r="C70" i="6"/>
  <c r="C71" i="6"/>
  <c r="C149" i="6"/>
  <c r="C95" i="6"/>
  <c r="C34" i="6"/>
  <c r="C96" i="6"/>
  <c r="C97" i="6"/>
  <c r="C35" i="6"/>
  <c r="C36" i="6"/>
  <c r="C37" i="6"/>
  <c r="C163" i="6"/>
  <c r="C98" i="6"/>
  <c r="C72" i="6"/>
  <c r="C38" i="6"/>
  <c r="C99" i="6"/>
  <c r="C138" i="6"/>
  <c r="C73" i="6"/>
  <c r="C74" i="6"/>
  <c r="C17" i="6"/>
  <c r="C151" i="6"/>
  <c r="C133" i="6"/>
  <c r="C75" i="6"/>
  <c r="C76" i="6"/>
  <c r="C77" i="6"/>
  <c r="C39" i="6"/>
  <c r="C40" i="6"/>
  <c r="C154" i="6"/>
  <c r="C41" i="6"/>
  <c r="C42" i="6"/>
  <c r="C120" i="6"/>
  <c r="C43" i="6"/>
  <c r="C18" i="6"/>
  <c r="C100" i="6"/>
  <c r="B19" i="6"/>
  <c r="B155" i="6"/>
  <c r="B134" i="6"/>
  <c r="B101" i="6"/>
  <c r="B44" i="6"/>
  <c r="B102" i="6"/>
  <c r="B20" i="6"/>
  <c r="B153" i="6"/>
  <c r="B45" i="6"/>
  <c r="B135" i="6"/>
  <c r="B21" i="6"/>
  <c r="B172" i="6"/>
  <c r="B83" i="6"/>
  <c r="B122" i="6"/>
  <c r="B150" i="6"/>
  <c r="B140" i="6"/>
  <c r="B22" i="6"/>
  <c r="B79" i="6"/>
  <c r="B8" i="6"/>
  <c r="B2" i="6"/>
  <c r="B123" i="6"/>
  <c r="B175" i="6"/>
  <c r="B103" i="6"/>
  <c r="B23" i="6"/>
  <c r="B3" i="6"/>
  <c r="B125" i="6"/>
  <c r="B157" i="6"/>
  <c r="B104" i="6"/>
  <c r="B105" i="6"/>
  <c r="B14" i="6"/>
  <c r="B46" i="6"/>
  <c r="B9" i="6"/>
  <c r="B47" i="6"/>
  <c r="B48" i="6"/>
  <c r="B24" i="6"/>
  <c r="B171" i="6"/>
  <c r="B106" i="6"/>
  <c r="B160" i="6"/>
  <c r="B168" i="6"/>
  <c r="B80" i="6"/>
  <c r="B165" i="6"/>
  <c r="B25" i="6"/>
  <c r="B107" i="6"/>
  <c r="B127" i="6"/>
  <c r="B167" i="6"/>
  <c r="B50" i="6"/>
  <c r="B173" i="6"/>
  <c r="B176" i="6"/>
  <c r="B51" i="6"/>
  <c r="B108" i="6"/>
  <c r="B109" i="6"/>
  <c r="B144" i="6"/>
  <c r="B52" i="6"/>
  <c r="B161" i="6"/>
  <c r="B164" i="6"/>
  <c r="B26" i="6"/>
  <c r="B170" i="6"/>
  <c r="B53" i="6"/>
  <c r="B54" i="6"/>
  <c r="B55" i="6"/>
  <c r="B84" i="6"/>
  <c r="B56" i="6"/>
  <c r="B85" i="6"/>
  <c r="B128" i="6"/>
  <c r="B86" i="6"/>
  <c r="B159" i="6"/>
  <c r="B110" i="6"/>
  <c r="B10" i="6"/>
  <c r="B87" i="6"/>
  <c r="B78" i="6"/>
  <c r="B136" i="6"/>
  <c r="B57" i="6"/>
  <c r="B88" i="6"/>
  <c r="B111" i="6"/>
  <c r="B178" i="6"/>
  <c r="B81" i="6"/>
  <c r="B13" i="6"/>
  <c r="B89" i="6"/>
  <c r="B141" i="6"/>
  <c r="B90" i="6"/>
  <c r="B169" i="6"/>
  <c r="B58" i="6"/>
  <c r="B27" i="6"/>
  <c r="B91" i="6"/>
  <c r="B59" i="6"/>
  <c r="B60" i="6"/>
  <c r="B61" i="6"/>
  <c r="B15" i="6"/>
  <c r="B162" i="6"/>
  <c r="B129" i="6"/>
  <c r="B137" i="6"/>
  <c r="B112" i="6"/>
  <c r="B92" i="6"/>
  <c r="B139" i="6"/>
  <c r="B113" i="6"/>
  <c r="B152" i="6"/>
  <c r="B145" i="6"/>
  <c r="B114" i="6"/>
  <c r="B62" i="6"/>
  <c r="B11" i="6"/>
  <c r="B28" i="6"/>
  <c r="B63" i="6"/>
  <c r="B29" i="6"/>
  <c r="B64" i="6"/>
  <c r="B142" i="6"/>
  <c r="B30" i="6"/>
  <c r="B146" i="6"/>
  <c r="B7" i="6"/>
  <c r="B65" i="6"/>
  <c r="B66" i="6"/>
  <c r="B5" i="6"/>
  <c r="B115" i="6"/>
  <c r="B93" i="6"/>
  <c r="B116" i="6"/>
  <c r="B117" i="6"/>
  <c r="B31" i="6"/>
  <c r="B143" i="6"/>
  <c r="B118" i="6"/>
  <c r="B32" i="6"/>
  <c r="B12" i="6"/>
  <c r="B166" i="6"/>
  <c r="B130" i="6"/>
  <c r="B67" i="6"/>
  <c r="B156" i="6"/>
  <c r="B148" i="6"/>
  <c r="B131" i="6"/>
  <c r="B174" i="6"/>
  <c r="B158" i="6"/>
  <c r="B33" i="6"/>
  <c r="B4" i="6"/>
  <c r="B132" i="6"/>
  <c r="B16" i="6"/>
  <c r="B177" i="6"/>
  <c r="B119" i="6"/>
  <c r="B68" i="6"/>
  <c r="B6" i="6"/>
  <c r="B69" i="6"/>
  <c r="B147" i="6"/>
  <c r="B70" i="6"/>
  <c r="B71" i="6"/>
  <c r="B149" i="6"/>
  <c r="B95" i="6"/>
  <c r="B34" i="6"/>
  <c r="B96" i="6"/>
  <c r="B97" i="6"/>
  <c r="B35" i="6"/>
  <c r="B36" i="6"/>
  <c r="B37" i="6"/>
  <c r="B163" i="6"/>
  <c r="B98" i="6"/>
  <c r="B72" i="6"/>
  <c r="B38" i="6"/>
  <c r="B99" i="6"/>
  <c r="B138" i="6"/>
  <c r="B73" i="6"/>
  <c r="B74" i="6"/>
  <c r="B17" i="6"/>
  <c r="B151" i="6"/>
  <c r="B133" i="6"/>
  <c r="B75" i="6"/>
  <c r="B76" i="6"/>
  <c r="B77" i="6"/>
  <c r="B39" i="6"/>
  <c r="B40" i="6"/>
  <c r="B154" i="6"/>
  <c r="B41" i="6"/>
  <c r="B42" i="6"/>
  <c r="B120" i="6"/>
  <c r="B43" i="6"/>
  <c r="B18" i="6"/>
  <c r="H142" i="5"/>
  <c r="B94" i="6" s="1"/>
  <c r="H104" i="5"/>
  <c r="B49" i="6" s="1"/>
  <c r="H129" i="5"/>
  <c r="B82" i="6" s="1"/>
  <c r="H11" i="5"/>
  <c r="B100" i="6" s="1"/>
  <c r="H91" i="5"/>
  <c r="B126" i="6" s="1"/>
  <c r="H93" i="5"/>
  <c r="B124" i="6" s="1"/>
  <c r="H90" i="5"/>
  <c r="B121" i="6" s="1"/>
  <c r="H29" i="1"/>
  <c r="I26" i="3"/>
  <c r="F7" i="6" s="1"/>
  <c r="I18" i="3"/>
  <c r="F179" i="6" s="1"/>
  <c r="I13" i="3"/>
  <c r="F155" i="6" s="1"/>
  <c r="I5" i="3"/>
  <c r="F164" i="6" s="1"/>
  <c r="I25" i="3"/>
  <c r="F152" i="6" s="1"/>
  <c r="I12" i="3"/>
  <c r="F145" i="6" s="1"/>
  <c r="I20" i="3"/>
  <c r="F139" i="6" s="1"/>
  <c r="I24" i="3"/>
  <c r="F169" i="6" s="1"/>
  <c r="I23" i="3"/>
  <c r="F168" i="6" s="1"/>
  <c r="I11" i="3"/>
  <c r="F146" i="6" s="1"/>
  <c r="I10" i="3"/>
  <c r="F163" i="6" s="1"/>
  <c r="I31" i="3"/>
  <c r="F151" i="6" s="1"/>
  <c r="I9" i="3"/>
  <c r="F144" i="6" s="1"/>
  <c r="I8" i="3"/>
  <c r="F140" i="6" s="1"/>
  <c r="I7" i="3"/>
  <c r="F143" i="6" s="1"/>
  <c r="I30" i="3"/>
  <c r="F166" i="6" s="1"/>
  <c r="I4" i="3"/>
  <c r="F165" i="6" s="1"/>
  <c r="I36" i="3"/>
  <c r="F13" i="6" s="1"/>
  <c r="I19" i="3"/>
  <c r="F142" i="6" s="1"/>
  <c r="I22" i="3"/>
  <c r="F170" i="6" s="1"/>
  <c r="I35" i="3"/>
  <c r="F158" i="6" s="1"/>
  <c r="I29" i="3"/>
  <c r="F159" i="6" s="1"/>
  <c r="I17" i="3"/>
  <c r="F172" i="6" s="1"/>
  <c r="I34" i="3"/>
  <c r="F6" i="6" s="1"/>
  <c r="I16" i="3"/>
  <c r="F175" i="6" s="1"/>
  <c r="I21" i="3"/>
  <c r="F167" i="6" s="1"/>
  <c r="I38" i="3"/>
  <c r="F178" i="6" s="1"/>
  <c r="I15" i="3"/>
  <c r="F171" i="6" s="1"/>
  <c r="I28" i="3"/>
  <c r="F150" i="6" s="1"/>
  <c r="I27" i="3"/>
  <c r="F154" i="6" s="1"/>
  <c r="I37" i="3"/>
  <c r="F2" i="6" s="1"/>
  <c r="I33" i="3"/>
  <c r="F14" i="6" s="1"/>
  <c r="I32" i="3"/>
  <c r="F9" i="6" s="1"/>
  <c r="I3" i="3"/>
  <c r="F153" i="6" s="1"/>
  <c r="I2" i="3"/>
  <c r="F148" i="6" s="1"/>
  <c r="H120" i="1"/>
  <c r="H96" i="1"/>
  <c r="H13" i="1"/>
  <c r="H141" i="1"/>
  <c r="H140" i="1"/>
  <c r="H138" i="1"/>
  <c r="H10" i="1"/>
  <c r="H34" i="1"/>
  <c r="H9" i="1"/>
  <c r="H54" i="1"/>
  <c r="H106" i="1"/>
  <c r="H14" i="1"/>
  <c r="H148" i="1"/>
  <c r="H63" i="1"/>
  <c r="H144" i="1"/>
  <c r="H57" i="1"/>
  <c r="H42" i="1"/>
  <c r="H107" i="1"/>
  <c r="H39" i="1"/>
  <c r="H31" i="1"/>
  <c r="H78" i="1"/>
  <c r="H122" i="1"/>
  <c r="H142" i="1"/>
  <c r="H114" i="1"/>
  <c r="H154" i="1"/>
  <c r="H149" i="1"/>
  <c r="H30" i="1"/>
  <c r="H145" i="1"/>
  <c r="H126" i="1"/>
  <c r="H157" i="1"/>
  <c r="H156" i="1"/>
  <c r="H4" i="1"/>
  <c r="H64" i="1"/>
  <c r="H76" i="1"/>
  <c r="H75" i="1"/>
  <c r="H73" i="1"/>
  <c r="H70" i="1"/>
  <c r="H65" i="1"/>
  <c r="H146" i="1"/>
  <c r="H86" i="1"/>
  <c r="H59" i="1"/>
  <c r="H58" i="1"/>
  <c r="H53" i="1"/>
  <c r="H128" i="1"/>
  <c r="H45" i="1"/>
  <c r="H44" i="1"/>
  <c r="H40" i="1"/>
  <c r="H36" i="1"/>
  <c r="H35" i="1"/>
  <c r="H125" i="1"/>
  <c r="H121" i="1"/>
  <c r="H28" i="1"/>
  <c r="H27" i="1"/>
  <c r="H99" i="1"/>
  <c r="H21" i="1"/>
  <c r="H18" i="1"/>
  <c r="H97" i="1"/>
  <c r="H77" i="1"/>
  <c r="H17" i="1"/>
  <c r="H3" i="1"/>
  <c r="H87" i="1"/>
  <c r="H20" i="1"/>
  <c r="H66" i="1"/>
  <c r="H11" i="1"/>
  <c r="H133" i="1"/>
  <c r="H102" i="1"/>
  <c r="H24" i="1"/>
  <c r="H7" i="1"/>
  <c r="H6" i="1"/>
  <c r="H38" i="1"/>
  <c r="H110" i="1"/>
  <c r="H109" i="1"/>
  <c r="H101" i="1"/>
  <c r="H94" i="1"/>
  <c r="H85" i="1"/>
  <c r="H37" i="1"/>
  <c r="H48" i="1"/>
  <c r="H25" i="1"/>
  <c r="H8" i="1"/>
  <c r="H155" i="1"/>
  <c r="H50" i="1"/>
  <c r="H118" i="1"/>
  <c r="H115" i="1"/>
  <c r="H111" i="1"/>
  <c r="H84" i="1"/>
  <c r="H71" i="1"/>
  <c r="H62" i="1"/>
  <c r="H47" i="1"/>
  <c r="H92" i="1"/>
  <c r="H5" i="1"/>
  <c r="H135" i="1"/>
  <c r="H143" i="1"/>
  <c r="H134" i="1"/>
  <c r="H130" i="1"/>
  <c r="H89" i="1"/>
  <c r="H82" i="1"/>
  <c r="H81" i="1"/>
  <c r="H151" i="1"/>
  <c r="H119" i="1"/>
  <c r="H105" i="1"/>
  <c r="H103" i="1"/>
  <c r="H93" i="1"/>
  <c r="H49" i="1"/>
  <c r="H26" i="1"/>
  <c r="H132" i="1"/>
  <c r="H131" i="1"/>
  <c r="H98" i="1"/>
  <c r="H22" i="1"/>
  <c r="H137" i="1"/>
  <c r="H83" i="1"/>
  <c r="H2" i="1"/>
  <c r="H147" i="1"/>
  <c r="H117" i="1"/>
  <c r="H116" i="1"/>
  <c r="H108" i="1"/>
  <c r="H100" i="1"/>
  <c r="H95" i="1"/>
  <c r="H91" i="1"/>
  <c r="H112" i="1"/>
  <c r="H51" i="1"/>
  <c r="H46" i="1"/>
  <c r="H104" i="1"/>
  <c r="H23" i="1"/>
  <c r="H19" i="1"/>
  <c r="H16" i="1"/>
  <c r="H152" i="1"/>
  <c r="H150" i="1"/>
  <c r="H139" i="1"/>
  <c r="H123" i="1"/>
  <c r="H88" i="1"/>
  <c r="H80" i="1"/>
  <c r="H79" i="1"/>
  <c r="H60" i="1"/>
  <c r="H153" i="1"/>
  <c r="H52" i="1"/>
  <c r="H136" i="1"/>
  <c r="H129" i="1"/>
  <c r="H127" i="1"/>
  <c r="H124" i="1"/>
  <c r="H113" i="1"/>
  <c r="H74" i="1"/>
  <c r="H72" i="1"/>
  <c r="H69" i="1"/>
  <c r="H68" i="1"/>
  <c r="H67" i="1"/>
  <c r="H56" i="1"/>
  <c r="H43" i="1"/>
  <c r="H41" i="1"/>
  <c r="H61" i="1"/>
  <c r="H33" i="1"/>
  <c r="H32" i="1"/>
  <c r="H15" i="1"/>
  <c r="H90" i="1"/>
  <c r="H12" i="1"/>
  <c r="F88" i="6" l="1"/>
  <c r="F50" i="6"/>
  <c r="F34" i="6"/>
  <c r="F31" i="6"/>
  <c r="H31" i="6" s="1"/>
  <c r="F89" i="6"/>
  <c r="F106" i="6"/>
  <c r="H106" i="6" s="1"/>
  <c r="F157" i="6"/>
  <c r="F87" i="6"/>
  <c r="H87" i="6" s="1"/>
  <c r="F22" i="6"/>
  <c r="H22" i="6" s="1"/>
  <c r="F135" i="6"/>
  <c r="H135" i="6" s="1"/>
  <c r="F86" i="6"/>
  <c r="H86" i="6" s="1"/>
  <c r="F21" i="6"/>
  <c r="H21" i="6" s="1"/>
  <c r="F132" i="6"/>
  <c r="H132" i="6" s="1"/>
  <c r="F78" i="6"/>
  <c r="H78" i="6" s="1"/>
  <c r="F17" i="6"/>
  <c r="H17" i="6" s="1"/>
  <c r="F129" i="6"/>
  <c r="H129" i="6" s="1"/>
  <c r="F77" i="6"/>
  <c r="F5" i="6"/>
  <c r="H5" i="6" s="1"/>
  <c r="F118" i="6"/>
  <c r="H118" i="6" s="1"/>
  <c r="F65" i="6"/>
  <c r="H65" i="6" s="1"/>
  <c r="F117" i="6"/>
  <c r="H117" i="6" s="1"/>
  <c r="F62" i="6"/>
  <c r="H62" i="6" s="1"/>
  <c r="F116" i="6"/>
  <c r="H116" i="6" s="1"/>
  <c r="F60" i="6"/>
  <c r="H60" i="6" s="1"/>
  <c r="F115" i="6"/>
  <c r="H115" i="6" s="1"/>
  <c r="F59" i="6"/>
  <c r="H59" i="6" s="1"/>
  <c r="F107" i="6"/>
  <c r="H107" i="6" s="1"/>
  <c r="F58" i="6"/>
  <c r="H58" i="6" s="1"/>
  <c r="F103" i="6"/>
  <c r="H103" i="6" s="1"/>
  <c r="F45" i="6"/>
  <c r="H45" i="6" s="1"/>
  <c r="F91" i="6"/>
  <c r="H91" i="6" s="1"/>
  <c r="F44" i="6"/>
  <c r="H44" i="6" s="1"/>
  <c r="F8" i="6"/>
  <c r="H8" i="6" s="1"/>
  <c r="F114" i="6"/>
  <c r="H114" i="6" s="1"/>
  <c r="F79" i="6"/>
  <c r="H79" i="6" s="1"/>
  <c r="F49" i="6"/>
  <c r="H49" i="6" s="1"/>
  <c r="F134" i="6"/>
  <c r="H134" i="6" s="1"/>
  <c r="F105" i="6"/>
  <c r="H105" i="6" s="1"/>
  <c r="F76" i="6"/>
  <c r="H76" i="6" s="1"/>
  <c r="F36" i="6"/>
  <c r="H36" i="6" s="1"/>
  <c r="F176" i="6"/>
  <c r="H176" i="6" s="1"/>
  <c r="F133" i="6"/>
  <c r="H133" i="6" s="1"/>
  <c r="F104" i="6"/>
  <c r="H104" i="6" s="1"/>
  <c r="F72" i="6"/>
  <c r="H72" i="6" s="1"/>
  <c r="F35" i="6"/>
  <c r="H35" i="6" s="1"/>
  <c r="F174" i="6"/>
  <c r="H174" i="6" s="1"/>
  <c r="F131" i="6"/>
  <c r="H131" i="6" s="1"/>
  <c r="F102" i="6"/>
  <c r="H102" i="6" s="1"/>
  <c r="F64" i="6"/>
  <c r="H64" i="6" s="1"/>
  <c r="F33" i="6"/>
  <c r="H33" i="6" s="1"/>
  <c r="F173" i="6"/>
  <c r="H173" i="6" s="1"/>
  <c r="F130" i="6"/>
  <c r="H130" i="6" s="1"/>
  <c r="F92" i="6"/>
  <c r="H92" i="6" s="1"/>
  <c r="F63" i="6"/>
  <c r="H63" i="6" s="1"/>
  <c r="F32" i="6"/>
  <c r="H32" i="6" s="1"/>
  <c r="F128" i="6"/>
  <c r="H128" i="6" s="1"/>
  <c r="F90" i="6"/>
  <c r="H90" i="6" s="1"/>
  <c r="F61" i="6"/>
  <c r="H61" i="6" s="1"/>
  <c r="F30" i="6"/>
  <c r="H30" i="6" s="1"/>
  <c r="F177" i="6"/>
  <c r="H177" i="6" s="1"/>
  <c r="F16" i="6"/>
  <c r="H16" i="6" s="1"/>
  <c r="F149" i="6"/>
  <c r="H149" i="6" s="1"/>
  <c r="F121" i="6"/>
  <c r="H121" i="6" s="1"/>
  <c r="F101" i="6"/>
  <c r="F75" i="6"/>
  <c r="H75" i="6" s="1"/>
  <c r="F48" i="6"/>
  <c r="H48" i="6" s="1"/>
  <c r="F20" i="6"/>
  <c r="H20" i="6" s="1"/>
  <c r="F120" i="6"/>
  <c r="H120" i="6" s="1"/>
  <c r="F100" i="6"/>
  <c r="H100" i="6" s="1"/>
  <c r="F74" i="6"/>
  <c r="H74" i="6" s="1"/>
  <c r="F47" i="6"/>
  <c r="H47" i="6" s="1"/>
  <c r="F19" i="6"/>
  <c r="H19" i="6" s="1"/>
  <c r="F3" i="6"/>
  <c r="H3" i="6" s="1"/>
  <c r="F156" i="6"/>
  <c r="H156" i="6" s="1"/>
  <c r="F147" i="6"/>
  <c r="H147" i="6" s="1"/>
  <c r="F119" i="6"/>
  <c r="H119" i="6" s="1"/>
  <c r="F93" i="6"/>
  <c r="H93" i="6" s="1"/>
  <c r="F73" i="6"/>
  <c r="F46" i="6"/>
  <c r="H46" i="6" s="1"/>
  <c r="F18" i="6"/>
  <c r="H18" i="6" s="1"/>
  <c r="F160" i="6"/>
  <c r="H160" i="6" s="1"/>
  <c r="F141" i="6"/>
  <c r="H141" i="6" s="1"/>
  <c r="F127" i="6"/>
  <c r="H127" i="6" s="1"/>
  <c r="F113" i="6"/>
  <c r="H113" i="6" s="1"/>
  <c r="F99" i="6"/>
  <c r="H99" i="6" s="1"/>
  <c r="F85" i="6"/>
  <c r="H85" i="6" s="1"/>
  <c r="F71" i="6"/>
  <c r="H71" i="6" s="1"/>
  <c r="F57" i="6"/>
  <c r="H57" i="6" s="1"/>
  <c r="F43" i="6"/>
  <c r="H43" i="6" s="1"/>
  <c r="F29" i="6"/>
  <c r="H29" i="6" s="1"/>
  <c r="F15" i="6"/>
  <c r="H15" i="6" s="1"/>
  <c r="F126" i="6"/>
  <c r="H126" i="6" s="1"/>
  <c r="F112" i="6"/>
  <c r="H112" i="6" s="1"/>
  <c r="F98" i="6"/>
  <c r="H98" i="6" s="1"/>
  <c r="F84" i="6"/>
  <c r="H84" i="6" s="1"/>
  <c r="F70" i="6"/>
  <c r="H70" i="6" s="1"/>
  <c r="F56" i="6"/>
  <c r="H56" i="6" s="1"/>
  <c r="F42" i="6"/>
  <c r="H42" i="6" s="1"/>
  <c r="F28" i="6"/>
  <c r="H28" i="6" s="1"/>
  <c r="F125" i="6"/>
  <c r="H125" i="6" s="1"/>
  <c r="F111" i="6"/>
  <c r="H111" i="6" s="1"/>
  <c r="F97" i="6"/>
  <c r="H97" i="6" s="1"/>
  <c r="F83" i="6"/>
  <c r="H83" i="6" s="1"/>
  <c r="F69" i="6"/>
  <c r="H69" i="6" s="1"/>
  <c r="F55" i="6"/>
  <c r="H55" i="6" s="1"/>
  <c r="F41" i="6"/>
  <c r="H41" i="6" s="1"/>
  <c r="F27" i="6"/>
  <c r="H27" i="6" s="1"/>
  <c r="F162" i="6"/>
  <c r="H162" i="6" s="1"/>
  <c r="F161" i="6"/>
  <c r="H161" i="6" s="1"/>
  <c r="F138" i="6"/>
  <c r="H138" i="6" s="1"/>
  <c r="F124" i="6"/>
  <c r="H124" i="6" s="1"/>
  <c r="F110" i="6"/>
  <c r="H110" i="6" s="1"/>
  <c r="F96" i="6"/>
  <c r="H96" i="6" s="1"/>
  <c r="F82" i="6"/>
  <c r="H82" i="6" s="1"/>
  <c r="F68" i="6"/>
  <c r="H68" i="6" s="1"/>
  <c r="F54" i="6"/>
  <c r="H54" i="6" s="1"/>
  <c r="F40" i="6"/>
  <c r="H40" i="6" s="1"/>
  <c r="F26" i="6"/>
  <c r="H26" i="6" s="1"/>
  <c r="F12" i="6"/>
  <c r="H12" i="6" s="1"/>
  <c r="F4" i="6"/>
  <c r="H4" i="6" s="1"/>
  <c r="F137" i="6"/>
  <c r="H137" i="6" s="1"/>
  <c r="F123" i="6"/>
  <c r="H123" i="6" s="1"/>
  <c r="F109" i="6"/>
  <c r="H109" i="6" s="1"/>
  <c r="F95" i="6"/>
  <c r="H95" i="6" s="1"/>
  <c r="F81" i="6"/>
  <c r="H81" i="6" s="1"/>
  <c r="F67" i="6"/>
  <c r="H67" i="6" s="1"/>
  <c r="F53" i="6"/>
  <c r="H53" i="6" s="1"/>
  <c r="F39" i="6"/>
  <c r="H39" i="6" s="1"/>
  <c r="F25" i="6"/>
  <c r="H25" i="6" s="1"/>
  <c r="F11" i="6"/>
  <c r="H11" i="6" s="1"/>
  <c r="F136" i="6"/>
  <c r="H136" i="6" s="1"/>
  <c r="F122" i="6"/>
  <c r="H122" i="6" s="1"/>
  <c r="F108" i="6"/>
  <c r="H108" i="6" s="1"/>
  <c r="F94" i="6"/>
  <c r="H94" i="6" s="1"/>
  <c r="F80" i="6"/>
  <c r="H80" i="6" s="1"/>
  <c r="F66" i="6"/>
  <c r="H66" i="6" s="1"/>
  <c r="F52" i="6"/>
  <c r="H52" i="6" s="1"/>
  <c r="F38" i="6"/>
  <c r="H38" i="6" s="1"/>
  <c r="F24" i="6"/>
  <c r="H24" i="6" s="1"/>
  <c r="F10" i="6"/>
  <c r="H10" i="6" s="1"/>
  <c r="F51" i="6"/>
  <c r="H51" i="6" s="1"/>
  <c r="F37" i="6"/>
  <c r="H37" i="6" s="1"/>
  <c r="H77" i="6"/>
  <c r="H34" i="6"/>
  <c r="H89" i="6"/>
  <c r="H88" i="6"/>
  <c r="H101" i="6"/>
  <c r="H73" i="6"/>
  <c r="H7" i="6"/>
  <c r="H158" i="6"/>
  <c r="H6" i="6"/>
  <c r="H14" i="6"/>
  <c r="H2" i="6"/>
  <c r="H154" i="6"/>
  <c r="H9" i="6"/>
  <c r="H13" i="6"/>
  <c r="H171" i="6"/>
  <c r="H179" i="6"/>
  <c r="H168" i="6"/>
  <c r="H140" i="6"/>
  <c r="H23" i="6"/>
  <c r="H50" i="6"/>
  <c r="H163" i="6"/>
  <c r="H172" i="6"/>
  <c r="H151" i="6"/>
  <c r="H146" i="6"/>
  <c r="H155" i="6"/>
  <c r="H167" i="6"/>
  <c r="H175" i="6"/>
  <c r="H145" i="6"/>
  <c r="H144" i="6"/>
  <c r="H148" i="6"/>
  <c r="H139" i="6"/>
  <c r="H164" i="6"/>
  <c r="H150" i="6"/>
  <c r="H153" i="6"/>
  <c r="H157" i="6"/>
  <c r="H159" i="6"/>
  <c r="H143" i="6"/>
  <c r="H170" i="6"/>
  <c r="H142" i="6"/>
  <c r="H169" i="6"/>
  <c r="H166" i="6"/>
  <c r="H152" i="6"/>
  <c r="H165" i="6"/>
  <c r="H178" i="6"/>
</calcChain>
</file>

<file path=xl/sharedStrings.xml><?xml version="1.0" encoding="utf-8"?>
<sst xmlns="http://schemas.openxmlformats.org/spreadsheetml/2006/main" count="2282" uniqueCount="364">
  <si>
    <t>Notes</t>
  </si>
  <si>
    <t>category</t>
  </si>
  <si>
    <t>General Medical Practitioner</t>
  </si>
  <si>
    <t>Receptionist</t>
  </si>
  <si>
    <t>Manager</t>
  </si>
  <si>
    <t>Community Practitioner</t>
  </si>
  <si>
    <t>Nurse</t>
  </si>
  <si>
    <t>Health Care Support Worker</t>
  </si>
  <si>
    <t>Clerical Worker</t>
  </si>
  <si>
    <t>System Administrator</t>
  </si>
  <si>
    <t>Healthcare Assistant</t>
  </si>
  <si>
    <t>Salaried General Practitioner</t>
  </si>
  <si>
    <t>Community Administrator</t>
  </si>
  <si>
    <t>Community Nurse</t>
  </si>
  <si>
    <t>Desktop Support Administrator</t>
  </si>
  <si>
    <t>Senior Administrator</t>
  </si>
  <si>
    <t>Specialist Nurse Practitioner</t>
  </si>
  <si>
    <t>Sessional GP</t>
  </si>
  <si>
    <t>Medical Secretary</t>
  </si>
  <si>
    <t>Secretary</t>
  </si>
  <si>
    <t>GP Registrar</t>
  </si>
  <si>
    <t>Staff Nurse</t>
  </si>
  <si>
    <t>Dispenser</t>
  </si>
  <si>
    <t>Phlebotomist</t>
  </si>
  <si>
    <t>Locum GP</t>
  </si>
  <si>
    <t>Pharmacist</t>
  </si>
  <si>
    <t>Consultant</t>
  </si>
  <si>
    <t>Senior Manager</t>
  </si>
  <si>
    <t>Clinical Coder</t>
  </si>
  <si>
    <t>Associate Practitioner - General Practitioner</t>
  </si>
  <si>
    <t>Sister/Charge Nurse</t>
  </si>
  <si>
    <t>Associate Practitioner - Nurse</t>
  </si>
  <si>
    <t>Nurse Manager</t>
  </si>
  <si>
    <t>Enrolled Nurse</t>
  </si>
  <si>
    <t>Nurse Consultant</t>
  </si>
  <si>
    <t>Appointments Clerk</t>
  </si>
  <si>
    <t>Technician - Admin &amp; Clerical</t>
  </si>
  <si>
    <t>System Worker</t>
  </si>
  <si>
    <t>Helpdesk Administrator</t>
  </si>
  <si>
    <t>Medical Records Clerk</t>
  </si>
  <si>
    <t>Medical Technical Officer - Pharmacy</t>
  </si>
  <si>
    <t>Desktop Support Technician</t>
  </si>
  <si>
    <t>Other Community Health Service - Admin Clerk</t>
  </si>
  <si>
    <t>Clinical Assistant</t>
  </si>
  <si>
    <t>Assistant Practitioner</t>
  </si>
  <si>
    <t>Network Administrator</t>
  </si>
  <si>
    <t>Clinical Application Administrator</t>
  </si>
  <si>
    <t>Physiotherapist</t>
  </si>
  <si>
    <t>Health Records Administrator</t>
  </si>
  <si>
    <t>Practitioner</t>
  </si>
  <si>
    <t>Health Records Clerk</t>
  </si>
  <si>
    <t>Helper/Assistant</t>
  </si>
  <si>
    <t>Advanced Practitioner</t>
  </si>
  <si>
    <t>Helpdesk Technician</t>
  </si>
  <si>
    <t>Other Community Health Service</t>
  </si>
  <si>
    <t>Caldicott Guardian</t>
  </si>
  <si>
    <t>Information Officer</t>
  </si>
  <si>
    <t>Associate Practitioner</t>
  </si>
  <si>
    <t>Medical Student</t>
  </si>
  <si>
    <t>Counsellor</t>
  </si>
  <si>
    <t>Network Technician</t>
  </si>
  <si>
    <t>Staff Grade</t>
  </si>
  <si>
    <t>Paramedic</t>
  </si>
  <si>
    <t>Paramedic Specialist Practitioner</t>
  </si>
  <si>
    <t>Medical Records Manager</t>
  </si>
  <si>
    <t>Chiropodist/Podiatrist</t>
  </si>
  <si>
    <t>Associate Specialist</t>
  </si>
  <si>
    <t>Officer</t>
  </si>
  <si>
    <t>Specialist Practitioner</t>
  </si>
  <si>
    <t>Assistant GP</t>
  </si>
  <si>
    <t>Modern Matron</t>
  </si>
  <si>
    <t>House Officer - Post Registration</t>
  </si>
  <si>
    <t>Paramedic Manager</t>
  </si>
  <si>
    <t>Dietitian</t>
  </si>
  <si>
    <t>Deputising Doctor</t>
  </si>
  <si>
    <t>Community Mental Health Nurse</t>
  </si>
  <si>
    <t>Art Therapist</t>
  </si>
  <si>
    <t>Analyst</t>
  </si>
  <si>
    <t>Osteopath</t>
  </si>
  <si>
    <t>Clinical Director - Medical</t>
  </si>
  <si>
    <t>Art Therapist Manager</t>
  </si>
  <si>
    <t>Availability Monitor</t>
  </si>
  <si>
    <t>Child Protection worker</t>
  </si>
  <si>
    <t>Trainee Practitioner</t>
  </si>
  <si>
    <t>Radiologist</t>
  </si>
  <si>
    <t>Therapist</t>
  </si>
  <si>
    <t>Hospital Practitioner</t>
  </si>
  <si>
    <t>Finance Director</t>
  </si>
  <si>
    <t>Intermediate Care staff</t>
  </si>
  <si>
    <t>Porter</t>
  </si>
  <si>
    <t>Medical Technical Officer</t>
  </si>
  <si>
    <t>Student Practice Nurse</t>
  </si>
  <si>
    <t>Senior House Officer</t>
  </si>
  <si>
    <t>Waiting List Manager</t>
  </si>
  <si>
    <t>Physiotherapist Specialist Practitioner</t>
  </si>
  <si>
    <t>Physiotherapist Manager</t>
  </si>
  <si>
    <t>Outpatient Manager</t>
  </si>
  <si>
    <t>Physician Assistant</t>
  </si>
  <si>
    <t>Clinical Team Manager</t>
  </si>
  <si>
    <t>Call Operator</t>
  </si>
  <si>
    <t>Radiographer</t>
  </si>
  <si>
    <t>Patient Welfare Officer</t>
  </si>
  <si>
    <t>Researcher</t>
  </si>
  <si>
    <t>Clinical Director</t>
  </si>
  <si>
    <t>Community Team Manager</t>
  </si>
  <si>
    <t>Psychotherapist</t>
  </si>
  <si>
    <t>Regional Dental Officer</t>
  </si>
  <si>
    <t>Physiotherapist Consultant</t>
  </si>
  <si>
    <t>Student Nurse - Adult Branch</t>
  </si>
  <si>
    <t>Clinical Psychologist</t>
  </si>
  <si>
    <t>Art Therapist Specialist Practitioner</t>
  </si>
  <si>
    <t>Specialist Registrar</t>
  </si>
  <si>
    <t>House Officer - Pre Registration</t>
  </si>
  <si>
    <t>Paramedic Consultant</t>
  </si>
  <si>
    <t>Social Worker</t>
  </si>
  <si>
    <t>Art Therapist Consultant</t>
  </si>
  <si>
    <t>Chiropodist/Podiatrist Specialist Practitioner</t>
  </si>
  <si>
    <t>Occupational Therapist</t>
  </si>
  <si>
    <t>Healthcare Scientist</t>
  </si>
  <si>
    <t>Midwife</t>
  </si>
  <si>
    <t>Ward Clerk</t>
  </si>
  <si>
    <t>Optometrist</t>
  </si>
  <si>
    <t>Audiologist</t>
  </si>
  <si>
    <t>Other Community Health Service - Social Care Worker</t>
  </si>
  <si>
    <t>Director of Nursing</t>
  </si>
  <si>
    <t>Audit Manager</t>
  </si>
  <si>
    <t>Radiographer - Diagnostic, Manager</t>
  </si>
  <si>
    <t>Multi Therapist</t>
  </si>
  <si>
    <t>Trust Grade Doctor - SHO level</t>
  </si>
  <si>
    <t>Radiographer - Diagnostic, Specialist Practitioner</t>
  </si>
  <si>
    <t>Student Community Practitioner</t>
  </si>
  <si>
    <t>Chiropodist/Podiatrist Consultant</t>
  </si>
  <si>
    <t>Ward Manager</t>
  </si>
  <si>
    <t>Gateway Worker</t>
  </si>
  <si>
    <t>Healthcare Cadet</t>
  </si>
  <si>
    <t>Technician - Healthcare Scientists</t>
  </si>
  <si>
    <t>Clinical Medical Officer</t>
  </si>
  <si>
    <t>Dietitian Specialist Practitioner</t>
  </si>
  <si>
    <t>Nursery Nurse</t>
  </si>
  <si>
    <t>Dietitian Consultant</t>
  </si>
  <si>
    <t>Orthoptist Manager</t>
  </si>
  <si>
    <t>Chiropodist/Podiatrist Manager</t>
  </si>
  <si>
    <t>Radiographer - Diagnostic</t>
  </si>
  <si>
    <t>Social Care Support Worker</t>
  </si>
  <si>
    <t>Biomedical Scientist</t>
  </si>
  <si>
    <t>Student Physiotherapist</t>
  </si>
  <si>
    <t>Technician - Additional Clinical Services</t>
  </si>
  <si>
    <t>Waiting List Clerk</t>
  </si>
  <si>
    <t>Asst. Clinical Medical Officer</t>
  </si>
  <si>
    <t>Pre-reg Pharmacist</t>
  </si>
  <si>
    <t>Social work assistant (mental health)</t>
  </si>
  <si>
    <t>Dietitian Manager</t>
  </si>
  <si>
    <t>Healthcare Science Assistant</t>
  </si>
  <si>
    <t>Midwife - Sister/Charge Nurse</t>
  </si>
  <si>
    <t>Student District Nurse</t>
  </si>
  <si>
    <t>Medical Director</t>
  </si>
  <si>
    <t>Multi Therapist Specialist Practitioner</t>
  </si>
  <si>
    <t>Student Technician</t>
  </si>
  <si>
    <t>specialty_concept_id</t>
  </si>
  <si>
    <t>concept_name</t>
  </si>
  <si>
    <t>General Practice</t>
  </si>
  <si>
    <t>Community Health Nurse Practitioner</t>
  </si>
  <si>
    <t>Other Technician</t>
  </si>
  <si>
    <t>Registered Record Administrator</t>
  </si>
  <si>
    <t>Case Manager / Care Coordinator</t>
  </si>
  <si>
    <t>Medical Physician Assistant</t>
  </si>
  <si>
    <t>No matching concept</t>
  </si>
  <si>
    <t>Uncategorised</t>
  </si>
  <si>
    <t>Registered Community Health Nurse</t>
  </si>
  <si>
    <t>Community Health Worker</t>
  </si>
  <si>
    <t>Clinical Nurse Specialist</t>
  </si>
  <si>
    <t>Registered Nurse</t>
  </si>
  <si>
    <t>Health Information Technician</t>
  </si>
  <si>
    <t>Registered General Practice Nurse</t>
  </si>
  <si>
    <t>Pharmacy Technician</t>
  </si>
  <si>
    <t>Nurse Practitioner</t>
  </si>
  <si>
    <t>Physician Office Based Coding Specialist</t>
  </si>
  <si>
    <t>Specialist</t>
  </si>
  <si>
    <t>Surgical Physician Assistant</t>
  </si>
  <si>
    <t>Physical Hand Therapist</t>
  </si>
  <si>
    <t>Podiatrist</t>
  </si>
  <si>
    <t>Student</t>
  </si>
  <si>
    <t>Professional Behavioral Health Counselor</t>
  </si>
  <si>
    <t>Registered Dietitian</t>
  </si>
  <si>
    <t>Community Psych / Mental Health Nurse</t>
  </si>
  <si>
    <t>Marriage and Family Therapist</t>
  </si>
  <si>
    <t>Radiography Technologist</t>
  </si>
  <si>
    <t>Behavioral Health &amp; Social Service Providers, Psychologist, Clinical</t>
  </si>
  <si>
    <t>Registered School Nurse</t>
  </si>
  <si>
    <t>Mental Health Counselor</t>
  </si>
  <si>
    <t>Mental Retardation and Developmental Disability Psychologist</t>
  </si>
  <si>
    <t>Support, Time, Recovery Worker</t>
  </si>
  <si>
    <t>I derived a list of specialties for each datasets for the visits in the study period</t>
  </si>
  <si>
    <t>Code used for extraction (Source-cprd)</t>
  </si>
  <si>
    <t>Code used for extraction (OMOP)</t>
  </si>
  <si>
    <t>validation_staff &lt;- my_dm$`validation_staff` %&gt;% collect()</t>
  </si>
  <si>
    <t xml:space="preserve">visit_data_study_period &lt;- cdm$visit_detail %&gt;% </t>
  </si>
  <si>
    <t xml:space="preserve">validation_consultation &lt;- my_dm$`validation_consultation` %&gt;% collect() %&gt;% </t>
  </si>
  <si>
    <t xml:space="preserve">  # Filter for only primary care visits</t>
  </si>
  <si>
    <t xml:space="preserve">  # Filter such that we have the visits between the study start and study end dates</t>
  </si>
  <si>
    <t xml:space="preserve">  dplyr::filter(visit_detail_concept_id == 581477) %&gt;% </t>
  </si>
  <si>
    <t xml:space="preserve">  filter(consdate &gt;= study_start_date &amp; consdate &lt;= study_end_date)</t>
  </si>
  <si>
    <t xml:space="preserve">  dplyr::filter(visit_detail_start_date &gt;= study_start_date &amp; # include only visits in the study period</t>
  </si>
  <si>
    <t>visit_data_study_period &lt;- inner_join (validation_consultation, validation_staff ,</t>
  </si>
  <si>
    <t xml:space="preserve">                                       by = "staffid")</t>
  </si>
  <si>
    <t>specialty_freq &lt;- visit_data_study_period %&gt;%</t>
  </si>
  <si>
    <t xml:space="preserve">  count(description) %&gt;%</t>
  </si>
  <si>
    <t xml:space="preserve">  mutate(</t>
  </si>
  <si>
    <t xml:space="preserve">  mutate(percent = round(100 * n / sum(n), 1)) %&gt;%</t>
  </si>
  <si>
    <t xml:space="preserve">    percent = round(100 * n / sum(n), 1)</t>
  </si>
  <si>
    <t xml:space="preserve">  ) %&gt;%</t>
  </si>
  <si>
    <t xml:space="preserve">  arrange(desc(n))</t>
  </si>
  <si>
    <t>library(rio)</t>
  </si>
  <si>
    <t>export(specialty_freq, "specialty_frequency_whole_cprd_source_study_period.xlsx")</t>
  </si>
  <si>
    <t>Assumptions</t>
  </si>
  <si>
    <r>
      <t xml:space="preserve">Costing was performed using the specialty categories from the source CPRD data, with unit values listed in the </t>
    </r>
    <r>
      <rPr>
        <sz val="10"/>
        <color theme="1"/>
        <rFont val="Arial Unicode MS"/>
      </rPr>
      <t>source_cprd</t>
    </r>
    <r>
      <rPr>
        <sz val="11"/>
        <color theme="1"/>
        <rFont val="Calibri"/>
        <family val="2"/>
        <scheme val="minor"/>
      </rPr>
      <t xml:space="preserve"> sheet.</t>
    </r>
  </si>
  <si>
    <r>
      <t xml:space="preserve">OMOP </t>
    </r>
    <r>
      <rPr>
        <sz val="10"/>
        <color theme="1"/>
        <rFont val="Arial Unicode MS"/>
      </rPr>
      <t>specialty_concept_ids</t>
    </r>
    <r>
      <rPr>
        <sz val="11"/>
        <color theme="1"/>
        <rFont val="Calibri"/>
        <family val="2"/>
        <scheme val="minor"/>
      </rPr>
      <t xml:space="preserve"> were assigned costs based on their corresponding CPRD specialties.</t>
    </r>
  </si>
  <si>
    <t>When multiple CPRD specialties mapped to the same concept ID, an average cost was used.</t>
  </si>
  <si>
    <t>For source specialties that could not be mapped to a concept ID (i.e., unmatched), an average of all CPRD specialty costs was applied.</t>
  </si>
  <si>
    <t>In the master sheet there are values for source and omop side to side</t>
  </si>
  <si>
    <t>Admin</t>
  </si>
  <si>
    <t>Social</t>
  </si>
  <si>
    <t>Non-registered other</t>
  </si>
  <si>
    <t>Dental</t>
  </si>
  <si>
    <t>AHP</t>
  </si>
  <si>
    <t>Service</t>
  </si>
  <si>
    <t>PSSRU cost</t>
  </si>
  <si>
    <t>Unit type</t>
  </si>
  <si>
    <t>Band (source/assumption)</t>
  </si>
  <si>
    <t>Expected mean duration consultation by Lindsey</t>
  </si>
  <si>
    <t>per minute</t>
  </si>
  <si>
    <t>Table 9.4.2 “Unit costs for a GP” – Cost per minute of patient contact (without qualification)</t>
  </si>
  <si>
    <t>hourly</t>
  </si>
  <si>
    <t>Table 8.2.1 “Annual and unit costs for community-based scientific &amp; professional staff” – Cost per working hour (without qualification)</t>
  </si>
  <si>
    <t>Table 8.1 “Agenda for Change bands for scientific &amp; professional staff” – assumed Band 4 Assistant practitioner</t>
  </si>
  <si>
    <t>Table 8.1 “Agenda for Change bands for scientific &amp; professional staff” – assumed Band 4 Assistant Practitioner</t>
  </si>
  <si>
    <t>Table 9.2.1 “Annual and unit costs for qualified nurses” – Cost per working hour (without qualification)</t>
  </si>
  <si>
    <t>Band 4 from Table 11.2.1 – mapped title</t>
  </si>
  <si>
    <t>Band 4 from Table 11.2.1 “Agenda for Change (AfC) bands for hospital-based nurses” – mapped title</t>
  </si>
  <si>
    <t>Table 12.3.6 “Agenda for Change Bands for Pharmacists” – Band 4 Pharmacy technician</t>
  </si>
  <si>
    <t>Table 8.1 “Agenda for Change bands for scientific &amp; professional staff” – assumed Band 4 System Worker</t>
  </si>
  <si>
    <t>Table 8.1 “Agenda for Change bands for scientific &amp; professional staff” – assumed Band 4 Healthcare science technician</t>
  </si>
  <si>
    <t>Table 8.1 “Agenda for Change bands for scientific &amp; professional staff” – assumed Band 4 Trainee practitioner</t>
  </si>
  <si>
    <t>Table 8.1 “Agenda for Change bands for scientific &amp; professional staff” – assumed Band 5 Audiologist</t>
  </si>
  <si>
    <t>Table 8.1 “Agenda for Change bands for scientific &amp; professional staff” – assumed Band 5 Biomedical Scientist</t>
  </si>
  <si>
    <t>Table 12.3.4 “Agenda for Change Bands for Chiropodists/Podiatrists” – Band 5 Podiatrist</t>
  </si>
  <si>
    <t>Table 12.3.5 “Agenda for Change Bands for Psychologists” – Band 5 Counsellor (entry level)</t>
  </si>
  <si>
    <t>Table 8.1 “Agenda for Change bands for scientific &amp; professional staff” – assumed Band 5 Dietitian</t>
  </si>
  <si>
    <t>Table 8.1 “Agenda for Change bands for scientific &amp; professional staff” – assumed Band 5 Healthcare Scientist</t>
  </si>
  <si>
    <t>Table 8.1 “Agenda for Change bands for scientific &amp; professional staff” – assumed Band 5 Medical Technical Officer</t>
  </si>
  <si>
    <t>Table 12.3.2 “Agenda for Change Bands for Occupational Therapists” – Band 5 Occupational Therapist</t>
  </si>
  <si>
    <t>Table 8.1 “Agenda for Change bands for scientific &amp; professional staff” – assumed Band 5 Osteopath</t>
  </si>
  <si>
    <t>Table 8.1 “Agenda for Change bands for scientific &amp; professional staff” – assumed Band 5 Paramedic (treated as AHP)</t>
  </si>
  <si>
    <t>Table 12.3.1 “Agenda for Change Bands for Physiotherapists” – Band 5 Physiotherapist</t>
  </si>
  <si>
    <t>Table 8.1 “Agenda for Change bands for scientific &amp; professional staff” – assumed Band 5 Radiographer</t>
  </si>
  <si>
    <t>Table 8.1 “Agenda for Change bands for scientific &amp; professional staff” – assumed Band 5 Radiographer (diagnostic)</t>
  </si>
  <si>
    <t>Table 8.1 “Agenda for Change bands for scientific &amp; professional staff” – assumed Band 5 Researcher</t>
  </si>
  <si>
    <t>Assumed Band 5 from Table 11.2.1 – “Nurse”</t>
  </si>
  <si>
    <t>Band 5 from Table 11.2.1 “Agenda for Change (AfC) bands for hospital-based nurses” – mapped title</t>
  </si>
  <si>
    <t>Table 10.1.1 “Costs and unit estimations for a social worker (adult services)” – Cost per working hour (without qualification)</t>
  </si>
  <si>
    <t>Assumed match to Social worker (adult services)</t>
  </si>
  <si>
    <t>Assumed social worker cost</t>
  </si>
  <si>
    <t>Table 12.3.4 “Agenda for Change Bands for Chiropodists/Podiatrists” – Band 6 Podiatrist specialist</t>
  </si>
  <si>
    <t>Table 8.1 “Agenda for Change bands for scientific &amp; professional staff” – assumed Band 6 Dietitian specialist</t>
  </si>
  <si>
    <t>Table 8.1 “Agenda for Change bands for scientific &amp; professional staff” – assumed Band 6 Optometrist</t>
  </si>
  <si>
    <t>Table 8.1 “Agenda for Change bands for scientific &amp; professional staff” – assumed Band 6 Paramedic specialist</t>
  </si>
  <si>
    <t>Table 12.3.6 “Agenda for Change Bands for Pharmacists” – Band 6 Pharmacist</t>
  </si>
  <si>
    <t>Table 8.1 “Agenda for Change bands for scientific &amp; professional staff” – assumed Band 6 Radiographer specialist (diagnostic)</t>
  </si>
  <si>
    <t>Table 8.1 “Agenda for Change bands for scientific &amp; professional staff” – assumed Band 6 Therapist</t>
  </si>
  <si>
    <t>Band 6 from Table 11.2.1 “Agenda for Change (AfC) bands for hospital-based nurses” – mapped title</t>
  </si>
  <si>
    <t>Band 6 from Table 11.2.1 – mapped title</t>
  </si>
  <si>
    <t>Table 8.1 “Agenda for Change bands for scientific &amp; professional staff” – assumed Band 7 Arts Therapist</t>
  </si>
  <si>
    <t>Table 12.3.5 “Agenda for Change Bands for Psychologists” – Band 7 Clinical Psychologist</t>
  </si>
  <si>
    <t>Table 8.1 “Agenda for Change bands for scientific &amp; professional staff” – assumed Band 7 Dietitian (assumed senior)</t>
  </si>
  <si>
    <t>Table 8.1 “Agenda for Change bands for scientific &amp; professional staff” – assumed Band 7 Gateway Worker</t>
  </si>
  <si>
    <t>Table 8.1 “Agenda for Change bands for scientific &amp; professional staff” – assumed Band 7 Intermediate Care staff</t>
  </si>
  <si>
    <t>Table 8.1 “Agenda for Change bands for scientific &amp; professional staff” – assumed Band 7 Senior therapist (multi)</t>
  </si>
  <si>
    <t>Table 12.3.1 “Agenda for Change Bands for Physiotherapists” – Band 7 Specialist physiotherapist</t>
  </si>
  <si>
    <t>Table 8.1 “Agenda for Change bands for scientific &amp; professional staff” – assumed Band 7 Psychotherapist</t>
  </si>
  <si>
    <t>Table 8.1 “Agenda for Change bands for scientific &amp; professional staff” – assumed Band 7 Radiographer manager (diagnostic)</t>
  </si>
  <si>
    <t>Band 7 from Table 11.2.1 “Agenda for Change (AfC) bands for hospital-based nurses” – mapped title</t>
  </si>
  <si>
    <t>Table 8.1 “Agenda for Change bands for scientific &amp; professional staff” – assumed Band 8a Arts Therapist principal</t>
  </si>
  <si>
    <t>Table 12.3.4 “Agenda for Change Bands for Chiropodists/Podiatrists” – Band 8a Podiatrist principal</t>
  </si>
  <si>
    <t>Table 8.1 “Agenda for Change bands for scientific &amp; professional staff” – assumed Band 8a Dietitian principal</t>
  </si>
  <si>
    <t>Band 8a from Table 11.2.1 “Agenda for Change (AfC) bands for hospital-based nurses” – mapped title</t>
  </si>
  <si>
    <t>Table 8.1 “Agenda for Change bands for scientific &amp; professional staff” – assumed Band 8a Therapy principal (multi)</t>
  </si>
  <si>
    <t>Table 8.1 “Agenda for Change bands for scientific &amp; professional staff” – assumed Band 8a Orthoptist principal</t>
  </si>
  <si>
    <t>Table 8.1 “Agenda for Change bands for scientific &amp; professional staff” – assumed Band 8a Paramedic principal/consultant</t>
  </si>
  <si>
    <t>Table 12.3.1 “Agenda for Change Bands for Physiotherapists” – Band 8a Physiotherapist principal</t>
  </si>
  <si>
    <t>Band 8c from Table 11.2.1 “Agenda for Change (AfC) bands for hospital-based nurses” – mapped title</t>
  </si>
  <si>
    <t>Table 8.1 “Agenda for Change bands for scientific &amp; professional staff” – assumed Band 8c Arts therapies consultant</t>
  </si>
  <si>
    <t>Table 8.1 “Agenda for Change bands for scientific &amp; professional staff” – assumed Band 8c Head of arts therapies</t>
  </si>
  <si>
    <t>Table 12.3.4 “Agenda for Change Bands for Chiropodists/Podiatrists” – Band 8c Podiatric consultant</t>
  </si>
  <si>
    <t>Table 8.1 “Agenda for Change bands for scientific &amp; professional staff” – assumed Band 8c Paramedic Manager</t>
  </si>
  <si>
    <t>annual</t>
  </si>
  <si>
    <t>Table 12.2.1 “Mean annual basic pay per FTE for non‑medical occupational groupings” – Healthcare assistants and other support staff</t>
  </si>
  <si>
    <t>Table 12.2.1 “Mean annual basic pay per FTE for non‑medical occupational groupings” – Nursing, midwifery and health visiting learners</t>
  </si>
  <si>
    <t>Table 12.2.5 “Mean annual basic pay per FTE for NHS staff groups” – Admin &amp; Clerical</t>
  </si>
  <si>
    <t>Table 12.2.1 “Mean annual basic pay per FTE for non‑medical occupational groupings” – Administration and estates staff</t>
  </si>
  <si>
    <t>Table 12.2.1 “Mean annual basic pay per FTE for non‑medical occupational groupings” – Healthcare scientists</t>
  </si>
  <si>
    <t>Table 12.2.5 “Mean annual basic pay per FTE for NHS staff groups” – Managers</t>
  </si>
  <si>
    <t>Table 12.2.5 “Mean annual basic pay per FTE for NHS staff groups” – Senior managers</t>
  </si>
  <si>
    <t>GF assigned category</t>
  </si>
  <si>
    <t>Source in PSSRU</t>
  </si>
  <si>
    <t>unit_cost_encounter</t>
  </si>
  <si>
    <t>specialty_source_value</t>
  </si>
  <si>
    <t>GF assigned category and duration</t>
  </si>
  <si>
    <t>GF assigned duration</t>
  </si>
  <si>
    <t>description</t>
  </si>
  <si>
    <t>based on 52 weeks, 37.5hrs pw, annual leave (217.5, based on 29 days which corresponds to NHS employees with 5 to 10 years of service) and bank holidays (8 days) / GF assigned category and duration</t>
  </si>
  <si>
    <t>based on 52 weeks, 37.5hrs pw, annual leave (217.5, based on 29 days which corresponds to NHS employees with 5 to 10 years of service) and bank holidays (8 days) / GF assigned duration</t>
  </si>
  <si>
    <t>based on 52 weeks, 37.5hrs pw, annual leave (217.5, based on 29 days which corresponds to NHS employees with 5 to 10 years of service) and bank holidays (8 days)</t>
  </si>
  <si>
    <t>based on 52 weeks, 37.5hrs pw, annual leave (217.5, based on 29 days which corresponds to NHS employees with 5 to 10 years of service) and bank holidays (8 days) / GF assigned category</t>
  </si>
  <si>
    <t>GP</t>
  </si>
  <si>
    <t>Medic non-GP</t>
  </si>
  <si>
    <t>Nursing Cadet</t>
  </si>
  <si>
    <t>Community Worker (children)</t>
  </si>
  <si>
    <t>Social services care manager (adults)</t>
  </si>
  <si>
    <t>Trainee Scientist</t>
  </si>
  <si>
    <t>Assistant Psychologist</t>
  </si>
  <si>
    <t>Trust Grade Doctor - Career Grade level</t>
  </si>
  <si>
    <t>Mental Health Act Administrator</t>
  </si>
  <si>
    <t>Midwife - Consultant</t>
  </si>
  <si>
    <t>Chaplain</t>
  </si>
  <si>
    <t>Senior Clinical Medical Officer</t>
  </si>
  <si>
    <t>Midwife - Specialist Practitioner</t>
  </si>
  <si>
    <t>Occupational Therapy Specialist Practitioner</t>
  </si>
  <si>
    <t>Student Community Mental Health Nurse</t>
  </si>
  <si>
    <t>Dental Assistant Clinical Director</t>
  </si>
  <si>
    <t>Psychiatrist</t>
  </si>
  <si>
    <t>Technician - PS&amp;T</t>
  </si>
  <si>
    <t>Community Learning Disabilities Nurse</t>
  </si>
  <si>
    <t>Midwife - Manager</t>
  </si>
  <si>
    <t>Director of Public Health</t>
  </si>
  <si>
    <t>Other Executive Director</t>
  </si>
  <si>
    <t>Complaints Investigator</t>
  </si>
  <si>
    <t>Student Health Visitor</t>
  </si>
  <si>
    <t>Table 10.6.1 "Costs and unit estimations for a support and outreach worker"</t>
  </si>
  <si>
    <t>Table 12.3.5 “Agenda for Change Bands for Psychologists” – Band 4 Clinical psychology assistant practitioner</t>
  </si>
  <si>
    <t>Table 11.3.2 "Annual and unit costs for hospital-based doctors" - Consultant psychiatric</t>
  </si>
  <si>
    <t xml:space="preserve">Table 12.3.2 “Agenda for Change Bands for Occupational Therapists” – Band 6 </t>
  </si>
  <si>
    <t>Table 11.3.2 "Annual and unit costs for hospital-based doctors" - Associate specialist</t>
  </si>
  <si>
    <t>unit_cost_omop_standard</t>
  </si>
  <si>
    <t>Expected mean duration</t>
  </si>
  <si>
    <t>Update:</t>
  </si>
  <si>
    <t>unit_cost_omop_source</t>
  </si>
  <si>
    <t>category_omop_source</t>
  </si>
  <si>
    <t>category_omop_standard</t>
  </si>
  <si>
    <t>NA</t>
  </si>
  <si>
    <t xml:space="preserve">  dplyr::left_join(cdm$provider) %&gt;% </t>
  </si>
  <si>
    <t xml:space="preserve">                  visit_detail_start_date &lt;= study_end_date) %&gt;% compute()</t>
  </si>
  <si>
    <t xml:space="preserve">  group_by(specialty_source_value, specialty_concept_id) %&gt;%</t>
  </si>
  <si>
    <t xml:space="preserve">  summarise(n = n(), .groups = "drop") %&gt;%</t>
  </si>
  <si>
    <t xml:space="preserve">  left_join(</t>
  </si>
  <si>
    <t xml:space="preserve">    cdm$concept %&gt;% </t>
  </si>
  <si>
    <t xml:space="preserve">      select(concept_id, concept_name),</t>
  </si>
  <si>
    <t xml:space="preserve">    by = c("specialty_concept_id" = "concept_id")</t>
  </si>
  <si>
    <t>Cost in omop was done blidnly from CPRD and separately using source and concept id spelcialties</t>
  </si>
  <si>
    <t>DIFFERENCE OMOP_SOURCE-STANDARD</t>
  </si>
  <si>
    <t>NA (i.e., not in any ATHENA vocabularies at time of mapping)</t>
  </si>
  <si>
    <t>i.e., in athena but no standard concept</t>
  </si>
  <si>
    <t>Band 5</t>
  </si>
  <si>
    <t>Band 5 - assumed as a mid range mid-range NHS contact that isn’t GP/consultant level or purely Admin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</si>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</sst>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£-809]* #,##0.00_-;\-[$£-809]* #,##0.00_-;_-[$£-809]* &quot;-&quot;??_-;_-@_-"/>
    <numFmt numFmtId="165" formatCode="_-[$£-809]* #,##0.0_-;\-[$£-809]* #,##0.0_-;_-[$£-809]* &quot;-&quot;??_-;_-@_-"/>
    <numFmt numFmtId="166" formatCode="0.00000000"/>
    <numFmt numFmtId="167" formatCode="0.000000000"/>
    <numFmt numFmtId="170" formatCode="_-[$£-809]* #,##0.00000_-;\-[$£-809]* #,##0.00000_-;_-[$£-809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1" fillId="3" borderId="2" xfId="0" applyNumberFormat="1" applyFont="1" applyFill="1" applyBorder="1" applyAlignment="1">
      <alignment horizontal="center" vertical="top"/>
    </xf>
    <xf numFmtId="164" fontId="0" fillId="3" borderId="0" xfId="0" applyNumberFormat="1" applyFill="1"/>
    <xf numFmtId="0" fontId="5" fillId="0" borderId="0" xfId="0" applyFont="1"/>
    <xf numFmtId="165" fontId="0" fillId="0" borderId="0" xfId="0" applyNumberFormat="1"/>
    <xf numFmtId="164" fontId="1" fillId="4" borderId="0" xfId="0" applyNumberFormat="1" applyFon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1" fillId="0" borderId="1" xfId="0" applyNumberFormat="1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/>
    <xf numFmtId="0" fontId="0" fillId="5" borderId="0" xfId="0" applyFill="1"/>
    <xf numFmtId="164" fontId="1" fillId="5" borderId="0" xfId="0" applyNumberFormat="1" applyFont="1" applyFill="1" applyAlignment="1">
      <alignment horizontal="center"/>
    </xf>
    <xf numFmtId="0" fontId="1" fillId="5" borderId="0" xfId="0" applyFont="1" applyFill="1"/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164" fontId="1" fillId="0" borderId="0" xfId="0" applyNumberFormat="1" applyFont="1" applyFill="1" applyAlignment="1">
      <alignment horizontal="center"/>
    </xf>
    <xf numFmtId="1" fontId="0" fillId="0" borderId="0" xfId="0" applyNumberFormat="1"/>
    <xf numFmtId="170" fontId="0" fillId="3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zoomScale="110" zoomScaleNormal="110" workbookViewId="0">
      <pane ySplit="1" topLeftCell="A82" activePane="bottomLeft" state="frozen"/>
      <selection pane="bottomLeft" activeCell="H97" sqref="H97"/>
    </sheetView>
  </sheetViews>
  <sheetFormatPr defaultColWidth="23.5546875" defaultRowHeight="14.4"/>
  <cols>
    <col min="1" max="1" width="46.21875" customWidth="1"/>
    <col min="2" max="2" width="25.77734375" style="10" customWidth="1"/>
    <col min="5" max="5" width="55" customWidth="1"/>
    <col min="6" max="6" width="13.44140625" customWidth="1"/>
    <col min="8" max="8" width="23.5546875" style="8"/>
  </cols>
  <sheetData>
    <row r="1" spans="1:9">
      <c r="A1" s="5" t="s">
        <v>308</v>
      </c>
      <c r="B1" s="14" t="s">
        <v>226</v>
      </c>
      <c r="C1" s="5" t="s">
        <v>227</v>
      </c>
      <c r="D1" s="5" t="s">
        <v>303</v>
      </c>
      <c r="E1" s="5" t="s">
        <v>228</v>
      </c>
      <c r="F1" s="6" t="s">
        <v>1</v>
      </c>
      <c r="G1" s="6" t="s">
        <v>229</v>
      </c>
      <c r="H1" s="7" t="s">
        <v>304</v>
      </c>
      <c r="I1" s="6" t="s">
        <v>0</v>
      </c>
    </row>
    <row r="2" spans="1:9">
      <c r="A2" t="s">
        <v>31</v>
      </c>
      <c r="B2" s="10">
        <v>47</v>
      </c>
      <c r="C2" t="s">
        <v>232</v>
      </c>
      <c r="D2" t="s">
        <v>236</v>
      </c>
      <c r="E2" t="s">
        <v>257</v>
      </c>
      <c r="F2" t="s">
        <v>6</v>
      </c>
      <c r="G2">
        <v>15</v>
      </c>
      <c r="H2" s="8">
        <f>(B2/60)*G2</f>
        <v>11.75</v>
      </c>
    </row>
    <row r="3" spans="1:9">
      <c r="A3" t="s">
        <v>35</v>
      </c>
      <c r="B3" s="10">
        <v>30238</v>
      </c>
      <c r="C3" t="s">
        <v>294</v>
      </c>
      <c r="D3" t="s">
        <v>297</v>
      </c>
      <c r="F3" t="s">
        <v>220</v>
      </c>
      <c r="G3">
        <v>1</v>
      </c>
      <c r="H3" s="8">
        <f>(B3/((52*37.5)-217.5-60)/60)*G3</f>
        <v>0.30132536123567516</v>
      </c>
      <c r="I3" t="s">
        <v>311</v>
      </c>
    </row>
    <row r="4" spans="1:9">
      <c r="A4" t="s">
        <v>125</v>
      </c>
      <c r="B4" s="10">
        <v>62428</v>
      </c>
      <c r="C4" t="s">
        <v>294</v>
      </c>
      <c r="D4" t="s">
        <v>300</v>
      </c>
      <c r="F4" t="s">
        <v>220</v>
      </c>
      <c r="G4">
        <v>1</v>
      </c>
      <c r="H4" s="8">
        <f>(B4/((52*37.5)-217.5-60)/60)*G4</f>
        <v>0.62210264075734933</v>
      </c>
      <c r="I4" t="s">
        <v>311</v>
      </c>
    </row>
    <row r="5" spans="1:9">
      <c r="A5" t="s">
        <v>76</v>
      </c>
      <c r="B5" s="10">
        <v>68</v>
      </c>
      <c r="C5" t="s">
        <v>232</v>
      </c>
      <c r="D5" t="s">
        <v>233</v>
      </c>
      <c r="E5" t="s">
        <v>271</v>
      </c>
      <c r="F5" t="s">
        <v>224</v>
      </c>
      <c r="G5">
        <v>20</v>
      </c>
      <c r="H5" s="8">
        <f t="shared" ref="H5:H11" si="0">(B5/60)*G5</f>
        <v>22.666666666666664</v>
      </c>
    </row>
    <row r="6" spans="1:9">
      <c r="A6" t="s">
        <v>115</v>
      </c>
      <c r="B6" s="10">
        <v>106</v>
      </c>
      <c r="C6" t="s">
        <v>232</v>
      </c>
      <c r="D6" t="s">
        <v>233</v>
      </c>
      <c r="E6" t="s">
        <v>290</v>
      </c>
      <c r="F6" t="s">
        <v>224</v>
      </c>
      <c r="G6">
        <v>15</v>
      </c>
      <c r="H6" s="8">
        <f t="shared" si="0"/>
        <v>26.5</v>
      </c>
    </row>
    <row r="7" spans="1:9">
      <c r="A7" t="s">
        <v>80</v>
      </c>
      <c r="B7" s="10">
        <v>106</v>
      </c>
      <c r="C7" t="s">
        <v>232</v>
      </c>
      <c r="D7" t="s">
        <v>233</v>
      </c>
      <c r="E7" t="s">
        <v>291</v>
      </c>
      <c r="F7" t="s">
        <v>224</v>
      </c>
      <c r="G7">
        <v>20</v>
      </c>
      <c r="H7" s="8">
        <f t="shared" si="0"/>
        <v>35.333333333333329</v>
      </c>
    </row>
    <row r="8" spans="1:9">
      <c r="A8" t="s">
        <v>110</v>
      </c>
      <c r="B8" s="10">
        <v>77</v>
      </c>
      <c r="C8" t="s">
        <v>232</v>
      </c>
      <c r="D8" t="s">
        <v>233</v>
      </c>
      <c r="E8" t="s">
        <v>281</v>
      </c>
      <c r="F8" t="s">
        <v>224</v>
      </c>
      <c r="G8">
        <v>15</v>
      </c>
      <c r="H8" s="8">
        <f t="shared" si="0"/>
        <v>19.25</v>
      </c>
    </row>
    <row r="9" spans="1:9">
      <c r="A9" t="s">
        <v>89</v>
      </c>
      <c r="B9" s="10">
        <v>30238</v>
      </c>
      <c r="C9" t="s">
        <v>294</v>
      </c>
      <c r="D9" t="s">
        <v>297</v>
      </c>
      <c r="F9" t="s">
        <v>222</v>
      </c>
      <c r="G9">
        <v>2</v>
      </c>
      <c r="H9" s="8">
        <f>(B9/((52*37.5)-217.5-60)/60)*G9</f>
        <v>0.60265072247135032</v>
      </c>
      <c r="I9" t="s">
        <v>311</v>
      </c>
    </row>
    <row r="10" spans="1:9">
      <c r="A10" t="s">
        <v>152</v>
      </c>
      <c r="B10" s="10">
        <v>36000</v>
      </c>
      <c r="C10" t="s">
        <v>294</v>
      </c>
      <c r="D10" t="s">
        <v>299</v>
      </c>
      <c r="F10" t="s">
        <v>222</v>
      </c>
      <c r="G10">
        <v>5</v>
      </c>
      <c r="H10" s="8">
        <f>(B10/((52*37.5)-217.5-60)/60)*G10</f>
        <v>1.7937219730941707</v>
      </c>
      <c r="I10" t="s">
        <v>311</v>
      </c>
    </row>
    <row r="11" spans="1:9">
      <c r="A11" t="s">
        <v>67</v>
      </c>
      <c r="B11" s="10">
        <v>30238</v>
      </c>
      <c r="C11" t="s">
        <v>294</v>
      </c>
      <c r="D11" t="s">
        <v>297</v>
      </c>
      <c r="F11" t="s">
        <v>222</v>
      </c>
      <c r="G11">
        <v>5</v>
      </c>
      <c r="H11" s="8">
        <f>(B11/((52*37.5)-217.5-60)/60)*G11</f>
        <v>1.5066268061783759</v>
      </c>
      <c r="I11" t="s">
        <v>309</v>
      </c>
    </row>
    <row r="12" spans="1:9">
      <c r="A12" t="s">
        <v>29</v>
      </c>
      <c r="B12" s="10">
        <v>3.7</v>
      </c>
      <c r="C12" t="s">
        <v>230</v>
      </c>
      <c r="D12" t="s">
        <v>231</v>
      </c>
      <c r="F12" s="9" t="s">
        <v>313</v>
      </c>
      <c r="G12">
        <v>15</v>
      </c>
      <c r="H12" s="8">
        <f>G12*B12</f>
        <v>55.5</v>
      </c>
    </row>
    <row r="13" spans="1:9">
      <c r="A13" t="s">
        <v>124</v>
      </c>
      <c r="B13" s="10">
        <v>90859</v>
      </c>
      <c r="C13" t="s">
        <v>294</v>
      </c>
      <c r="D13" t="s">
        <v>301</v>
      </c>
      <c r="F13" t="s">
        <v>6</v>
      </c>
      <c r="G13">
        <v>15</v>
      </c>
      <c r="H13" s="8">
        <f>(B13/((52*37.5)-217.5-60)/60)*G13</f>
        <v>13.581315396113602</v>
      </c>
      <c r="I13" t="s">
        <v>311</v>
      </c>
    </row>
    <row r="14" spans="1:9">
      <c r="A14" t="s">
        <v>157</v>
      </c>
      <c r="B14" s="10">
        <v>27214</v>
      </c>
      <c r="C14" t="s">
        <v>294</v>
      </c>
      <c r="D14" t="s">
        <v>296</v>
      </c>
      <c r="F14" t="s">
        <v>222</v>
      </c>
      <c r="G14">
        <v>5</v>
      </c>
      <c r="H14" s="8">
        <f>(B14/((52*37.5)-217.5-60)/60)*G14</f>
        <v>1.3559541604384653</v>
      </c>
      <c r="I14" t="s">
        <v>311</v>
      </c>
    </row>
    <row r="15" spans="1:9">
      <c r="A15" t="s">
        <v>148</v>
      </c>
      <c r="B15" s="10">
        <v>3.7</v>
      </c>
      <c r="C15" t="s">
        <v>230</v>
      </c>
      <c r="D15" t="s">
        <v>231</v>
      </c>
      <c r="F15" t="s">
        <v>314</v>
      </c>
      <c r="G15">
        <v>15</v>
      </c>
      <c r="H15" s="8">
        <f>G15*B15</f>
        <v>55.5</v>
      </c>
      <c r="I15" t="s">
        <v>302</v>
      </c>
    </row>
    <row r="16" spans="1:9">
      <c r="A16" t="s">
        <v>122</v>
      </c>
      <c r="B16" s="10">
        <v>44</v>
      </c>
      <c r="C16" t="s">
        <v>232</v>
      </c>
      <c r="D16" t="s">
        <v>233</v>
      </c>
      <c r="E16" t="s">
        <v>243</v>
      </c>
      <c r="F16" t="s">
        <v>224</v>
      </c>
      <c r="G16">
        <v>20</v>
      </c>
      <c r="H16" s="8">
        <f>(B16/60)*G16</f>
        <v>14.666666666666666</v>
      </c>
    </row>
    <row r="17" spans="1:9">
      <c r="A17" t="s">
        <v>81</v>
      </c>
      <c r="B17" s="10">
        <v>30238</v>
      </c>
      <c r="C17" t="s">
        <v>294</v>
      </c>
      <c r="D17" t="s">
        <v>297</v>
      </c>
      <c r="F17" t="s">
        <v>220</v>
      </c>
      <c r="G17">
        <v>1</v>
      </c>
      <c r="H17" s="8">
        <f>(B17/((52*37.5)-217.5-60)/60)*G17</f>
        <v>0.30132536123567516</v>
      </c>
      <c r="I17" t="s">
        <v>311</v>
      </c>
    </row>
    <row r="18" spans="1:9">
      <c r="A18" t="s">
        <v>46</v>
      </c>
      <c r="B18" s="10">
        <v>30238</v>
      </c>
      <c r="C18" t="s">
        <v>294</v>
      </c>
      <c r="D18" t="s">
        <v>297</v>
      </c>
      <c r="F18" t="s">
        <v>220</v>
      </c>
      <c r="G18">
        <v>1</v>
      </c>
      <c r="H18" s="8">
        <f>(B18/((52*37.5)-217.5-60)/60)*G18</f>
        <v>0.30132536123567516</v>
      </c>
      <c r="I18" t="s">
        <v>311</v>
      </c>
    </row>
    <row r="19" spans="1:9">
      <c r="A19" t="s">
        <v>144</v>
      </c>
      <c r="B19" s="10">
        <v>44</v>
      </c>
      <c r="C19" t="s">
        <v>232</v>
      </c>
      <c r="D19" t="s">
        <v>233</v>
      </c>
      <c r="E19" t="s">
        <v>244</v>
      </c>
      <c r="F19" t="s">
        <v>224</v>
      </c>
      <c r="G19">
        <v>20</v>
      </c>
      <c r="H19" s="8">
        <f>(B19/60)*G19</f>
        <v>14.666666666666666</v>
      </c>
    </row>
    <row r="20" spans="1:9">
      <c r="A20" t="s">
        <v>55</v>
      </c>
      <c r="B20" s="10">
        <v>90859</v>
      </c>
      <c r="C20" t="s">
        <v>294</v>
      </c>
      <c r="D20" t="s">
        <v>301</v>
      </c>
      <c r="F20" t="s">
        <v>314</v>
      </c>
      <c r="G20">
        <v>5</v>
      </c>
      <c r="H20" s="8">
        <f>(B20/((52*37.5)-217.5-60)/60)*G20</f>
        <v>4.5271051320378675</v>
      </c>
      <c r="I20" t="s">
        <v>309</v>
      </c>
    </row>
    <row r="21" spans="1:9">
      <c r="A21" t="s">
        <v>28</v>
      </c>
      <c r="B21" s="10">
        <v>30238</v>
      </c>
      <c r="C21" t="s">
        <v>294</v>
      </c>
      <c r="D21" t="s">
        <v>297</v>
      </c>
      <c r="F21" t="s">
        <v>220</v>
      </c>
      <c r="G21">
        <v>1</v>
      </c>
      <c r="H21" s="8">
        <f>(B21/((52*37.5)-217.5-60)/60)*G21</f>
        <v>0.30132536123567516</v>
      </c>
      <c r="I21" t="s">
        <v>311</v>
      </c>
    </row>
    <row r="22" spans="1:9">
      <c r="A22" t="s">
        <v>82</v>
      </c>
      <c r="B22" s="10">
        <v>48</v>
      </c>
      <c r="C22" t="s">
        <v>232</v>
      </c>
      <c r="D22" t="s">
        <v>259</v>
      </c>
      <c r="E22" t="s">
        <v>260</v>
      </c>
      <c r="F22" t="s">
        <v>221</v>
      </c>
      <c r="G22">
        <v>5</v>
      </c>
      <c r="H22" s="8">
        <f>(B22/60)*G22</f>
        <v>4</v>
      </c>
      <c r="I22" t="s">
        <v>307</v>
      </c>
    </row>
    <row r="23" spans="1:9">
      <c r="A23" t="s">
        <v>65</v>
      </c>
      <c r="B23" s="10">
        <v>44</v>
      </c>
      <c r="C23" t="s">
        <v>232</v>
      </c>
      <c r="D23" t="s">
        <v>233</v>
      </c>
      <c r="E23" t="s">
        <v>245</v>
      </c>
      <c r="F23" t="s">
        <v>224</v>
      </c>
      <c r="G23">
        <v>20</v>
      </c>
      <c r="H23" s="8">
        <f>(B23/60)*G23</f>
        <v>14.666666666666666</v>
      </c>
    </row>
    <row r="24" spans="1:9">
      <c r="A24" t="s">
        <v>131</v>
      </c>
      <c r="B24" s="10">
        <v>106</v>
      </c>
      <c r="C24" t="s">
        <v>232</v>
      </c>
      <c r="D24" t="s">
        <v>233</v>
      </c>
      <c r="E24" t="s">
        <v>292</v>
      </c>
      <c r="F24" t="s">
        <v>224</v>
      </c>
      <c r="G24">
        <v>15</v>
      </c>
      <c r="H24" s="8">
        <f>(B24/60)*G24</f>
        <v>26.5</v>
      </c>
    </row>
    <row r="25" spans="1:9">
      <c r="A25" t="s">
        <v>141</v>
      </c>
      <c r="B25" s="10">
        <v>77</v>
      </c>
      <c r="C25" t="s">
        <v>232</v>
      </c>
      <c r="D25" t="s">
        <v>233</v>
      </c>
      <c r="E25" t="s">
        <v>282</v>
      </c>
      <c r="F25" t="s">
        <v>224</v>
      </c>
      <c r="G25">
        <v>15</v>
      </c>
      <c r="H25" s="8">
        <f>(B25/60)*G25</f>
        <v>19.25</v>
      </c>
    </row>
    <row r="26" spans="1:9">
      <c r="A26" t="s">
        <v>116</v>
      </c>
      <c r="B26" s="10">
        <v>57</v>
      </c>
      <c r="C26" t="s">
        <v>232</v>
      </c>
      <c r="D26" t="s">
        <v>233</v>
      </c>
      <c r="E26" t="s">
        <v>262</v>
      </c>
      <c r="F26" t="s">
        <v>224</v>
      </c>
      <c r="G26">
        <v>15</v>
      </c>
      <c r="H26" s="8">
        <f>(B26/60)*G26</f>
        <v>14.25</v>
      </c>
    </row>
    <row r="27" spans="1:9">
      <c r="A27" t="s">
        <v>14</v>
      </c>
      <c r="B27" s="10">
        <v>30238</v>
      </c>
      <c r="C27" t="s">
        <v>294</v>
      </c>
      <c r="D27" t="s">
        <v>297</v>
      </c>
      <c r="F27" t="s">
        <v>220</v>
      </c>
      <c r="G27">
        <v>1</v>
      </c>
      <c r="H27" s="8">
        <f>(B27/((52*37.5)-217.5-60)/60)*G27</f>
        <v>0.30132536123567516</v>
      </c>
      <c r="I27" t="s">
        <v>311</v>
      </c>
    </row>
    <row r="28" spans="1:9">
      <c r="A28" t="s">
        <v>41</v>
      </c>
      <c r="B28" s="10">
        <v>30238</v>
      </c>
      <c r="C28" t="s">
        <v>294</v>
      </c>
      <c r="D28" t="s">
        <v>297</v>
      </c>
      <c r="F28" t="s">
        <v>220</v>
      </c>
      <c r="G28">
        <v>1</v>
      </c>
      <c r="H28" s="8">
        <f>(B28/((52*37.5)-217.5-60)/60)*G28</f>
        <v>0.30132536123567516</v>
      </c>
      <c r="I28" t="s">
        <v>311</v>
      </c>
    </row>
    <row r="29" spans="1:9">
      <c r="A29" t="s">
        <v>37</v>
      </c>
      <c r="B29" s="10">
        <v>39</v>
      </c>
      <c r="C29" t="s">
        <v>232</v>
      </c>
      <c r="D29" t="s">
        <v>233</v>
      </c>
      <c r="E29" t="s">
        <v>240</v>
      </c>
      <c r="F29" t="s">
        <v>222</v>
      </c>
      <c r="G29">
        <v>5</v>
      </c>
      <c r="H29" s="8">
        <f>(B29/60)*G29</f>
        <v>3.25</v>
      </c>
      <c r="I29" t="s">
        <v>306</v>
      </c>
    </row>
    <row r="30" spans="1:9">
      <c r="A30" t="s">
        <v>87</v>
      </c>
      <c r="B30" s="10">
        <v>90859</v>
      </c>
      <c r="C30" t="s">
        <v>294</v>
      </c>
      <c r="D30" t="s">
        <v>301</v>
      </c>
      <c r="F30" t="s">
        <v>220</v>
      </c>
      <c r="G30">
        <v>1</v>
      </c>
      <c r="H30" s="8">
        <f>(B30/((52*37.5)-217.5-60)/60)*G30</f>
        <v>0.90542102640757349</v>
      </c>
      <c r="I30" t="s">
        <v>311</v>
      </c>
    </row>
    <row r="31" spans="1:9">
      <c r="A31" t="s">
        <v>103</v>
      </c>
      <c r="B31" s="10">
        <v>62428</v>
      </c>
      <c r="C31" t="s">
        <v>294</v>
      </c>
      <c r="D31" t="s">
        <v>300</v>
      </c>
      <c r="F31" t="s">
        <v>314</v>
      </c>
      <c r="G31">
        <v>5</v>
      </c>
      <c r="H31" s="8">
        <f>(B31/((52*37.5)-217.5-60)/60)*G31</f>
        <v>3.1105132037867467</v>
      </c>
      <c r="I31" t="s">
        <v>312</v>
      </c>
    </row>
    <row r="32" spans="1:9">
      <c r="A32" t="s">
        <v>79</v>
      </c>
      <c r="B32" s="10">
        <v>3.7</v>
      </c>
      <c r="C32" t="s">
        <v>230</v>
      </c>
      <c r="D32" t="s">
        <v>231</v>
      </c>
      <c r="F32" t="s">
        <v>314</v>
      </c>
      <c r="G32">
        <v>15</v>
      </c>
      <c r="H32" s="8">
        <f>G32*B32</f>
        <v>55.5</v>
      </c>
    </row>
    <row r="33" spans="1:9">
      <c r="A33" t="s">
        <v>136</v>
      </c>
      <c r="B33" s="10">
        <v>3.7</v>
      </c>
      <c r="C33" t="s">
        <v>230</v>
      </c>
      <c r="D33" t="s">
        <v>231</v>
      </c>
      <c r="F33" t="s">
        <v>314</v>
      </c>
      <c r="G33">
        <v>15</v>
      </c>
      <c r="H33" s="8">
        <f>G33*B33</f>
        <v>55.5</v>
      </c>
    </row>
    <row r="34" spans="1:9">
      <c r="A34" t="s">
        <v>146</v>
      </c>
      <c r="B34" s="10">
        <v>30238</v>
      </c>
      <c r="C34" t="s">
        <v>294</v>
      </c>
      <c r="D34" t="s">
        <v>297</v>
      </c>
      <c r="F34" t="s">
        <v>222</v>
      </c>
      <c r="G34">
        <v>5</v>
      </c>
      <c r="H34" s="8">
        <f>(B34/((52*37.5)-217.5-60)/60)*G34</f>
        <v>1.5066268061783759</v>
      </c>
      <c r="I34" t="s">
        <v>311</v>
      </c>
    </row>
    <row r="35" spans="1:9">
      <c r="A35" t="s">
        <v>38</v>
      </c>
      <c r="B35" s="10">
        <v>30238</v>
      </c>
      <c r="C35" t="s">
        <v>294</v>
      </c>
      <c r="D35" t="s">
        <v>297</v>
      </c>
      <c r="F35" t="s">
        <v>220</v>
      </c>
      <c r="G35">
        <v>1</v>
      </c>
      <c r="H35" s="8">
        <f>(B35/((52*37.5)-217.5-60)/60)*G35</f>
        <v>0.30132536123567516</v>
      </c>
      <c r="I35" t="s">
        <v>311</v>
      </c>
    </row>
    <row r="36" spans="1:9">
      <c r="A36" t="s">
        <v>53</v>
      </c>
      <c r="B36" s="10">
        <v>30238</v>
      </c>
      <c r="C36" t="s">
        <v>294</v>
      </c>
      <c r="D36" t="s">
        <v>297</v>
      </c>
      <c r="F36" t="s">
        <v>220</v>
      </c>
      <c r="G36">
        <v>1</v>
      </c>
      <c r="H36" s="8">
        <f>(B36/((52*37.5)-217.5-60)/60)*G36</f>
        <v>0.30132536123567516</v>
      </c>
      <c r="I36" t="s">
        <v>311</v>
      </c>
    </row>
    <row r="37" spans="1:9">
      <c r="A37" t="s">
        <v>70</v>
      </c>
      <c r="B37" s="10">
        <v>77</v>
      </c>
      <c r="C37" t="s">
        <v>232</v>
      </c>
      <c r="D37" t="s">
        <v>236</v>
      </c>
      <c r="E37" t="s">
        <v>284</v>
      </c>
      <c r="F37" t="s">
        <v>6</v>
      </c>
      <c r="G37">
        <v>15</v>
      </c>
      <c r="H37" s="8">
        <f>(B37/60)*G37</f>
        <v>19.25</v>
      </c>
    </row>
    <row r="38" spans="1:9">
      <c r="A38" t="s">
        <v>34</v>
      </c>
      <c r="B38" s="10">
        <v>105</v>
      </c>
      <c r="C38" t="s">
        <v>232</v>
      </c>
      <c r="D38" t="s">
        <v>236</v>
      </c>
      <c r="E38" t="s">
        <v>289</v>
      </c>
      <c r="F38" t="s">
        <v>6</v>
      </c>
      <c r="G38">
        <v>15</v>
      </c>
      <c r="H38" s="8">
        <f>(B38/60)*G38</f>
        <v>26.25</v>
      </c>
    </row>
    <row r="39" spans="1:9">
      <c r="A39" t="s">
        <v>43</v>
      </c>
      <c r="B39" s="10">
        <v>22984</v>
      </c>
      <c r="C39" t="s">
        <v>294</v>
      </c>
      <c r="D39" t="s">
        <v>295</v>
      </c>
      <c r="F39" t="s">
        <v>222</v>
      </c>
      <c r="G39">
        <v>10</v>
      </c>
      <c r="H39" s="8">
        <f>(B39/((52*37.5)-217.5-60)/60)*G39</f>
        <v>2.2903836571998006</v>
      </c>
      <c r="I39" t="s">
        <v>311</v>
      </c>
    </row>
    <row r="40" spans="1:9">
      <c r="A40" t="s">
        <v>56</v>
      </c>
      <c r="B40" s="10">
        <v>30238</v>
      </c>
      <c r="C40" t="s">
        <v>294</v>
      </c>
      <c r="D40" t="s">
        <v>297</v>
      </c>
      <c r="F40" t="s">
        <v>220</v>
      </c>
      <c r="G40">
        <v>1</v>
      </c>
      <c r="H40" s="8">
        <f>(B40/((52*37.5)-217.5-60)/60)*G40</f>
        <v>0.30132536123567516</v>
      </c>
      <c r="I40" t="s">
        <v>311</v>
      </c>
    </row>
    <row r="41" spans="1:9">
      <c r="A41" t="s">
        <v>26</v>
      </c>
      <c r="B41" s="10">
        <v>3.7</v>
      </c>
      <c r="C41" t="s">
        <v>230</v>
      </c>
      <c r="D41" t="s">
        <v>231</v>
      </c>
      <c r="F41" t="s">
        <v>314</v>
      </c>
      <c r="G41">
        <v>15</v>
      </c>
      <c r="H41" s="8">
        <f>G41*B41</f>
        <v>55.5</v>
      </c>
      <c r="I41" t="s">
        <v>302</v>
      </c>
    </row>
    <row r="42" spans="1:9">
      <c r="A42" t="s">
        <v>10</v>
      </c>
      <c r="B42" s="10">
        <v>22984</v>
      </c>
      <c r="C42" t="s">
        <v>294</v>
      </c>
      <c r="D42" t="s">
        <v>295</v>
      </c>
      <c r="F42" t="s">
        <v>222</v>
      </c>
      <c r="G42">
        <v>10</v>
      </c>
      <c r="H42" s="8">
        <f>(B42/((52*37.5)-217.5-60)/60)*G42</f>
        <v>2.2903836571998006</v>
      </c>
      <c r="I42" t="s">
        <v>311</v>
      </c>
    </row>
    <row r="43" spans="1:9">
      <c r="A43" t="s">
        <v>74</v>
      </c>
      <c r="B43" s="10">
        <v>3.7</v>
      </c>
      <c r="C43" t="s">
        <v>230</v>
      </c>
      <c r="D43" t="s">
        <v>231</v>
      </c>
      <c r="F43" t="s">
        <v>314</v>
      </c>
      <c r="G43">
        <v>15</v>
      </c>
      <c r="H43" s="8">
        <f>G43*B43</f>
        <v>55.5</v>
      </c>
    </row>
    <row r="44" spans="1:9">
      <c r="A44" t="s">
        <v>39</v>
      </c>
      <c r="B44" s="10">
        <v>30238</v>
      </c>
      <c r="C44" t="s">
        <v>294</v>
      </c>
      <c r="D44" t="s">
        <v>297</v>
      </c>
      <c r="F44" t="s">
        <v>220</v>
      </c>
      <c r="G44">
        <v>1</v>
      </c>
      <c r="H44" s="8">
        <f>(B44/((52*37.5)-217.5-60)/60)*G44</f>
        <v>0.30132536123567516</v>
      </c>
      <c r="I44" t="s">
        <v>311</v>
      </c>
    </row>
    <row r="45" spans="1:9">
      <c r="A45" t="s">
        <v>64</v>
      </c>
      <c r="B45" s="10">
        <v>30238</v>
      </c>
      <c r="C45" t="s">
        <v>294</v>
      </c>
      <c r="D45" t="s">
        <v>297</v>
      </c>
      <c r="F45" t="s">
        <v>220</v>
      </c>
      <c r="G45">
        <v>1</v>
      </c>
      <c r="H45" s="8">
        <f>(B45/((52*37.5)-217.5-60)/60)*G45</f>
        <v>0.30132536123567516</v>
      </c>
      <c r="I45" t="s">
        <v>311</v>
      </c>
    </row>
    <row r="46" spans="1:9">
      <c r="A46" t="s">
        <v>73</v>
      </c>
      <c r="B46" s="10">
        <v>44</v>
      </c>
      <c r="C46" t="s">
        <v>232</v>
      </c>
      <c r="D46" t="s">
        <v>233</v>
      </c>
      <c r="E46" t="s">
        <v>247</v>
      </c>
      <c r="F46" t="s">
        <v>224</v>
      </c>
      <c r="G46">
        <v>20</v>
      </c>
      <c r="H46" s="8">
        <f>(B46/60)*G46</f>
        <v>14.666666666666666</v>
      </c>
    </row>
    <row r="47" spans="1:9">
      <c r="A47" t="s">
        <v>139</v>
      </c>
      <c r="B47" s="10">
        <v>68</v>
      </c>
      <c r="C47" t="s">
        <v>232</v>
      </c>
      <c r="D47" t="s">
        <v>233</v>
      </c>
      <c r="E47" t="s">
        <v>273</v>
      </c>
      <c r="F47" t="s">
        <v>224</v>
      </c>
      <c r="G47">
        <v>15</v>
      </c>
      <c r="H47" s="8">
        <f>(B47/60)*G47</f>
        <v>17</v>
      </c>
    </row>
    <row r="48" spans="1:9">
      <c r="A48" t="s">
        <v>151</v>
      </c>
      <c r="B48" s="10">
        <v>77</v>
      </c>
      <c r="C48" t="s">
        <v>232</v>
      </c>
      <c r="D48" t="s">
        <v>233</v>
      </c>
      <c r="E48" t="s">
        <v>283</v>
      </c>
      <c r="F48" t="s">
        <v>224</v>
      </c>
      <c r="G48">
        <v>15</v>
      </c>
      <c r="H48" s="8">
        <f>(B48/60)*G48</f>
        <v>19.25</v>
      </c>
    </row>
    <row r="49" spans="1:9">
      <c r="A49" t="s">
        <v>137</v>
      </c>
      <c r="B49" s="10">
        <v>57</v>
      </c>
      <c r="C49" t="s">
        <v>232</v>
      </c>
      <c r="D49" t="s">
        <v>233</v>
      </c>
      <c r="E49" t="s">
        <v>263</v>
      </c>
      <c r="F49" t="s">
        <v>224</v>
      </c>
      <c r="G49">
        <v>15</v>
      </c>
      <c r="H49" s="8">
        <f>(B49/60)*G49</f>
        <v>14.25</v>
      </c>
    </row>
    <row r="50" spans="1:9">
      <c r="A50" t="s">
        <v>32</v>
      </c>
      <c r="B50" s="10">
        <v>69</v>
      </c>
      <c r="C50" t="s">
        <v>232</v>
      </c>
      <c r="D50" t="s">
        <v>236</v>
      </c>
      <c r="E50" t="s">
        <v>280</v>
      </c>
      <c r="F50" t="s">
        <v>6</v>
      </c>
      <c r="G50">
        <v>15</v>
      </c>
      <c r="H50" s="8">
        <f>(B50/60)*G50</f>
        <v>17.25</v>
      </c>
    </row>
    <row r="51" spans="1:9">
      <c r="A51" t="s">
        <v>118</v>
      </c>
      <c r="B51" s="10">
        <v>44</v>
      </c>
      <c r="C51" t="s">
        <v>232</v>
      </c>
      <c r="D51" t="s">
        <v>233</v>
      </c>
      <c r="E51" t="s">
        <v>248</v>
      </c>
      <c r="F51" t="s">
        <v>222</v>
      </c>
      <c r="G51">
        <v>10</v>
      </c>
      <c r="H51" s="8">
        <f>(B51/60)*G51</f>
        <v>7.333333333333333</v>
      </c>
    </row>
    <row r="52" spans="1:9">
      <c r="A52" t="s">
        <v>61</v>
      </c>
      <c r="B52" s="10">
        <v>3.7</v>
      </c>
      <c r="C52" t="s">
        <v>230</v>
      </c>
      <c r="D52" t="s">
        <v>231</v>
      </c>
      <c r="F52" t="s">
        <v>6</v>
      </c>
      <c r="G52">
        <v>15</v>
      </c>
      <c r="H52" s="8">
        <f>G52*B52</f>
        <v>55.5</v>
      </c>
    </row>
    <row r="53" spans="1:9">
      <c r="A53" t="s">
        <v>45</v>
      </c>
      <c r="B53" s="10">
        <v>30238</v>
      </c>
      <c r="C53" t="s">
        <v>294</v>
      </c>
      <c r="D53" t="s">
        <v>297</v>
      </c>
      <c r="F53" t="s">
        <v>220</v>
      </c>
      <c r="G53">
        <v>1</v>
      </c>
      <c r="H53" s="8">
        <f>(B53/((52*37.5)-217.5-60)/60)*G53</f>
        <v>0.30132536123567516</v>
      </c>
      <c r="I53" t="s">
        <v>311</v>
      </c>
    </row>
    <row r="54" spans="1:9">
      <c r="A54" t="s">
        <v>51</v>
      </c>
      <c r="B54" s="10">
        <v>30238</v>
      </c>
      <c r="C54" t="s">
        <v>294</v>
      </c>
      <c r="D54" t="s">
        <v>297</v>
      </c>
      <c r="F54" t="s">
        <v>222</v>
      </c>
      <c r="G54">
        <v>10</v>
      </c>
      <c r="H54" s="8">
        <f>(B54/((52*37.5)-217.5-60)/60)*G54</f>
        <v>3.0132536123567517</v>
      </c>
      <c r="I54" t="s">
        <v>311</v>
      </c>
    </row>
    <row r="55" spans="1:9">
      <c r="A55" t="s">
        <v>2</v>
      </c>
      <c r="B55" s="10">
        <v>3.7</v>
      </c>
      <c r="C55" t="s">
        <v>230</v>
      </c>
      <c r="D55" t="s">
        <v>231</v>
      </c>
      <c r="F55" s="9" t="s">
        <v>313</v>
      </c>
      <c r="G55">
        <v>15</v>
      </c>
      <c r="H55" s="8">
        <f>G55*B55</f>
        <v>55.5</v>
      </c>
    </row>
    <row r="56" spans="1:9">
      <c r="A56" t="s">
        <v>20</v>
      </c>
      <c r="B56" s="10">
        <v>3.7</v>
      </c>
      <c r="C56" t="s">
        <v>230</v>
      </c>
      <c r="D56" t="s">
        <v>231</v>
      </c>
      <c r="F56" s="9" t="s">
        <v>313</v>
      </c>
      <c r="G56">
        <v>15</v>
      </c>
      <c r="H56" s="8">
        <f>G56*B56</f>
        <v>55.5</v>
      </c>
    </row>
    <row r="57" spans="1:9">
      <c r="A57" t="s">
        <v>23</v>
      </c>
      <c r="B57" s="10">
        <v>22984</v>
      </c>
      <c r="C57" t="s">
        <v>294</v>
      </c>
      <c r="D57" t="s">
        <v>295</v>
      </c>
      <c r="F57" t="s">
        <v>222</v>
      </c>
      <c r="G57">
        <v>10</v>
      </c>
      <c r="H57" s="8">
        <f>(B57/((52*37.5)-217.5-60)/60)*G57</f>
        <v>2.2903836571998006</v>
      </c>
      <c r="I57" t="s">
        <v>311</v>
      </c>
    </row>
    <row r="58" spans="1:9">
      <c r="A58" t="s">
        <v>60</v>
      </c>
      <c r="B58" s="10">
        <v>30238</v>
      </c>
      <c r="C58" t="s">
        <v>294</v>
      </c>
      <c r="D58" t="s">
        <v>297</v>
      </c>
      <c r="F58" t="s">
        <v>220</v>
      </c>
      <c r="G58">
        <v>1</v>
      </c>
      <c r="H58" s="8">
        <f>(B58/((52*37.5)-217.5-60)/60)*G58</f>
        <v>0.30132536123567516</v>
      </c>
      <c r="I58" t="s">
        <v>311</v>
      </c>
    </row>
    <row r="59" spans="1:9">
      <c r="A59" t="s">
        <v>42</v>
      </c>
      <c r="B59" s="10">
        <v>30238</v>
      </c>
      <c r="C59" t="s">
        <v>294</v>
      </c>
      <c r="D59" t="s">
        <v>297</v>
      </c>
      <c r="F59" t="s">
        <v>220</v>
      </c>
      <c r="G59">
        <v>1</v>
      </c>
      <c r="H59" s="8">
        <f>(B59/((52*37.5)-217.5-60)/60)*G59</f>
        <v>0.30132536123567516</v>
      </c>
      <c r="I59" t="s">
        <v>311</v>
      </c>
    </row>
    <row r="60" spans="1:9">
      <c r="A60" t="s">
        <v>69</v>
      </c>
      <c r="B60" s="10">
        <v>39</v>
      </c>
      <c r="C60" t="s">
        <v>232</v>
      </c>
      <c r="D60" t="s">
        <v>233</v>
      </c>
      <c r="E60" t="s">
        <v>234</v>
      </c>
      <c r="F60" t="s">
        <v>222</v>
      </c>
      <c r="G60">
        <v>15</v>
      </c>
      <c r="H60" s="8">
        <f>(B60/60)*G60</f>
        <v>9.75</v>
      </c>
    </row>
    <row r="61" spans="1:9">
      <c r="A61" t="s">
        <v>5</v>
      </c>
      <c r="B61" s="10">
        <v>3.7</v>
      </c>
      <c r="C61" t="s">
        <v>230</v>
      </c>
      <c r="D61" t="s">
        <v>231</v>
      </c>
      <c r="F61" t="s">
        <v>222</v>
      </c>
      <c r="G61">
        <v>15</v>
      </c>
      <c r="H61" s="8">
        <f>G61*B61</f>
        <v>55.5</v>
      </c>
      <c r="I61" t="s">
        <v>307</v>
      </c>
    </row>
    <row r="62" spans="1:9">
      <c r="A62" t="s">
        <v>133</v>
      </c>
      <c r="B62" s="10">
        <v>68</v>
      </c>
      <c r="C62" t="s">
        <v>232</v>
      </c>
      <c r="D62" t="s">
        <v>233</v>
      </c>
      <c r="E62" t="s">
        <v>274</v>
      </c>
      <c r="F62" s="4" t="s">
        <v>222</v>
      </c>
      <c r="G62">
        <v>15</v>
      </c>
      <c r="H62" s="8">
        <f>(B62/60)*G62</f>
        <v>17</v>
      </c>
      <c r="I62" t="s">
        <v>302</v>
      </c>
    </row>
    <row r="63" spans="1:9">
      <c r="A63" t="s">
        <v>134</v>
      </c>
      <c r="B63" s="10">
        <v>27214</v>
      </c>
      <c r="C63" t="s">
        <v>294</v>
      </c>
      <c r="D63" t="s">
        <v>296</v>
      </c>
      <c r="F63" t="s">
        <v>222</v>
      </c>
      <c r="G63">
        <v>15</v>
      </c>
      <c r="H63" s="8">
        <f>(B63/((52*37.5)-217.5-60)/60)*G63</f>
        <v>4.0678624813153963</v>
      </c>
      <c r="I63" t="s">
        <v>311</v>
      </c>
    </row>
    <row r="64" spans="1:9">
      <c r="A64" t="s">
        <v>191</v>
      </c>
      <c r="B64" s="10">
        <v>35631</v>
      </c>
      <c r="C64" t="s">
        <v>294</v>
      </c>
      <c r="D64" t="s">
        <v>298</v>
      </c>
      <c r="F64" t="s">
        <v>220</v>
      </c>
      <c r="G64">
        <v>1</v>
      </c>
      <c r="H64" s="8">
        <f>(B64/((52*37.5)-217.5-60)/60)*G64</f>
        <v>0.35506726457399101</v>
      </c>
      <c r="I64" t="s">
        <v>311</v>
      </c>
    </row>
    <row r="65" spans="1:9">
      <c r="A65" t="s">
        <v>9</v>
      </c>
      <c r="B65" s="10">
        <v>30238</v>
      </c>
      <c r="C65" t="s">
        <v>294</v>
      </c>
      <c r="D65" t="s">
        <v>297</v>
      </c>
      <c r="F65" t="s">
        <v>220</v>
      </c>
      <c r="G65">
        <v>1</v>
      </c>
      <c r="H65" s="8">
        <f>(B65/((52*37.5)-217.5-60)/60)*G65</f>
        <v>0.30132536123567516</v>
      </c>
      <c r="I65" t="s">
        <v>311</v>
      </c>
    </row>
    <row r="66" spans="1:9">
      <c r="A66" t="s">
        <v>101</v>
      </c>
      <c r="B66" s="10">
        <v>30238</v>
      </c>
      <c r="C66" t="s">
        <v>294</v>
      </c>
      <c r="D66" t="s">
        <v>297</v>
      </c>
      <c r="F66" t="s">
        <v>222</v>
      </c>
      <c r="G66">
        <v>15</v>
      </c>
      <c r="H66" s="8">
        <f>(B66/((52*37.5)-217.5-60)/60)*G66</f>
        <v>4.5198804185351271</v>
      </c>
      <c r="I66" t="s">
        <v>309</v>
      </c>
    </row>
    <row r="67" spans="1:9">
      <c r="A67" t="s">
        <v>86</v>
      </c>
      <c r="B67" s="10">
        <v>3.7</v>
      </c>
      <c r="C67" t="s">
        <v>230</v>
      </c>
      <c r="D67" t="s">
        <v>231</v>
      </c>
      <c r="F67" t="s">
        <v>314</v>
      </c>
      <c r="G67">
        <v>15</v>
      </c>
      <c r="H67" s="8">
        <f>G67*B67</f>
        <v>55.5</v>
      </c>
      <c r="I67" t="s">
        <v>302</v>
      </c>
    </row>
    <row r="68" spans="1:9">
      <c r="A68" t="s">
        <v>71</v>
      </c>
      <c r="B68" s="10">
        <v>3.7</v>
      </c>
      <c r="C68" t="s">
        <v>230</v>
      </c>
      <c r="D68" t="s">
        <v>231</v>
      </c>
      <c r="F68" t="s">
        <v>314</v>
      </c>
      <c r="G68">
        <v>15</v>
      </c>
      <c r="H68" s="8">
        <f>G68*B68</f>
        <v>55.5</v>
      </c>
    </row>
    <row r="69" spans="1:9">
      <c r="A69" t="s">
        <v>112</v>
      </c>
      <c r="B69" s="10">
        <v>3.7</v>
      </c>
      <c r="C69" t="s">
        <v>230</v>
      </c>
      <c r="D69" t="s">
        <v>231</v>
      </c>
      <c r="F69" t="s">
        <v>314</v>
      </c>
      <c r="G69">
        <v>15</v>
      </c>
      <c r="H69" s="8">
        <f>G69*B69</f>
        <v>55.5</v>
      </c>
    </row>
    <row r="70" spans="1:9">
      <c r="A70" t="s">
        <v>36</v>
      </c>
      <c r="B70" s="10">
        <v>30238</v>
      </c>
      <c r="C70" t="s">
        <v>294</v>
      </c>
      <c r="D70" t="s">
        <v>297</v>
      </c>
      <c r="F70" t="s">
        <v>220</v>
      </c>
      <c r="G70">
        <v>1</v>
      </c>
      <c r="H70" s="8">
        <f>(B70/((52*37.5)-217.5-60)/60)*G70</f>
        <v>0.30132536123567516</v>
      </c>
      <c r="I70" t="s">
        <v>311</v>
      </c>
    </row>
    <row r="71" spans="1:9">
      <c r="A71" t="s">
        <v>88</v>
      </c>
      <c r="B71" s="10">
        <v>68</v>
      </c>
      <c r="C71" t="s">
        <v>232</v>
      </c>
      <c r="D71" t="s">
        <v>233</v>
      </c>
      <c r="E71" t="s">
        <v>275</v>
      </c>
      <c r="F71" s="4" t="s">
        <v>224</v>
      </c>
      <c r="G71">
        <v>15</v>
      </c>
      <c r="H71" s="8">
        <f>(B71/60)*G71</f>
        <v>17</v>
      </c>
      <c r="I71" t="s">
        <v>302</v>
      </c>
    </row>
    <row r="72" spans="1:9">
      <c r="A72" t="s">
        <v>24</v>
      </c>
      <c r="B72" s="10">
        <v>3.7</v>
      </c>
      <c r="C72" t="s">
        <v>230</v>
      </c>
      <c r="D72" t="s">
        <v>231</v>
      </c>
      <c r="F72" s="9" t="s">
        <v>313</v>
      </c>
      <c r="G72">
        <v>15</v>
      </c>
      <c r="H72" s="8">
        <f>G72*B72</f>
        <v>55.5</v>
      </c>
    </row>
    <row r="73" spans="1:9">
      <c r="A73" t="s">
        <v>147</v>
      </c>
      <c r="B73" s="10">
        <v>30238</v>
      </c>
      <c r="C73" t="s">
        <v>294</v>
      </c>
      <c r="D73" t="s">
        <v>297</v>
      </c>
      <c r="F73" t="s">
        <v>220</v>
      </c>
      <c r="G73">
        <v>1</v>
      </c>
      <c r="H73" s="8">
        <f>(B73/((52*37.5)-217.5-60)/60)*G73</f>
        <v>0.30132536123567516</v>
      </c>
      <c r="I73" t="s">
        <v>311</v>
      </c>
    </row>
    <row r="74" spans="1:9">
      <c r="A74" t="s">
        <v>155</v>
      </c>
      <c r="B74" s="10">
        <v>3.7</v>
      </c>
      <c r="C74" t="s">
        <v>230</v>
      </c>
      <c r="D74" t="s">
        <v>231</v>
      </c>
      <c r="F74" t="s">
        <v>314</v>
      </c>
      <c r="G74">
        <v>15</v>
      </c>
      <c r="H74" s="8">
        <f>G74*B74</f>
        <v>55.5</v>
      </c>
    </row>
    <row r="75" spans="1:9">
      <c r="A75" t="s">
        <v>93</v>
      </c>
      <c r="B75" s="10">
        <v>30238</v>
      </c>
      <c r="C75" t="s">
        <v>294</v>
      </c>
      <c r="D75" t="s">
        <v>297</v>
      </c>
      <c r="F75" t="s">
        <v>220</v>
      </c>
      <c r="G75">
        <v>1</v>
      </c>
      <c r="H75" s="8">
        <f>(B75/((52*37.5)-217.5-60)/60)*G75</f>
        <v>0.30132536123567516</v>
      </c>
      <c r="I75" t="s">
        <v>311</v>
      </c>
    </row>
    <row r="76" spans="1:9">
      <c r="A76" t="s">
        <v>120</v>
      </c>
      <c r="B76" s="10">
        <v>30238</v>
      </c>
      <c r="C76" t="s">
        <v>294</v>
      </c>
      <c r="D76" t="s">
        <v>297</v>
      </c>
      <c r="F76" t="s">
        <v>220</v>
      </c>
      <c r="G76">
        <v>1</v>
      </c>
      <c r="H76" s="8">
        <f>(B76/((52*37.5)-217.5-60)/60)*G76</f>
        <v>0.30132536123567516</v>
      </c>
      <c r="I76" t="s">
        <v>311</v>
      </c>
    </row>
    <row r="77" spans="1:9">
      <c r="A77" t="s">
        <v>99</v>
      </c>
      <c r="B77" s="10">
        <v>30238</v>
      </c>
      <c r="C77" t="s">
        <v>294</v>
      </c>
      <c r="D77" t="s">
        <v>297</v>
      </c>
      <c r="F77" t="s">
        <v>220</v>
      </c>
      <c r="G77">
        <v>2</v>
      </c>
      <c r="H77" s="8">
        <f>(B77/((52*37.5)-217.5-60)/60)*G77</f>
        <v>0.60265072247135032</v>
      </c>
      <c r="I77" t="s">
        <v>311</v>
      </c>
    </row>
    <row r="78" spans="1:9">
      <c r="A78" t="s">
        <v>58</v>
      </c>
      <c r="B78" s="10">
        <v>27214</v>
      </c>
      <c r="C78" t="s">
        <v>294</v>
      </c>
      <c r="D78" t="s">
        <v>296</v>
      </c>
      <c r="F78" t="s">
        <v>314</v>
      </c>
      <c r="G78">
        <v>20</v>
      </c>
      <c r="H78" s="8">
        <f>(B78/((52*37.5)-217.5-60)/60)*G78</f>
        <v>5.4238166417538611</v>
      </c>
      <c r="I78" t="s">
        <v>311</v>
      </c>
    </row>
    <row r="79" spans="1:9">
      <c r="A79" t="s">
        <v>44</v>
      </c>
      <c r="B79" s="10">
        <v>39</v>
      </c>
      <c r="C79" t="s">
        <v>232</v>
      </c>
      <c r="D79" t="s">
        <v>233</v>
      </c>
      <c r="E79" t="s">
        <v>235</v>
      </c>
      <c r="F79" t="s">
        <v>222</v>
      </c>
      <c r="G79">
        <v>20</v>
      </c>
      <c r="H79" s="8">
        <f>(B79/60)*G79</f>
        <v>13</v>
      </c>
    </row>
    <row r="80" spans="1:9">
      <c r="A80" t="s">
        <v>57</v>
      </c>
      <c r="B80" s="10">
        <v>39</v>
      </c>
      <c r="C80" t="s">
        <v>232</v>
      </c>
      <c r="D80" t="s">
        <v>236</v>
      </c>
      <c r="E80" t="s">
        <v>237</v>
      </c>
      <c r="F80" t="s">
        <v>222</v>
      </c>
      <c r="G80">
        <v>20</v>
      </c>
      <c r="H80" s="8">
        <f>(B80/60)*G80</f>
        <v>13</v>
      </c>
    </row>
    <row r="81" spans="1:9">
      <c r="A81" t="s">
        <v>52</v>
      </c>
      <c r="B81" s="10">
        <v>58</v>
      </c>
      <c r="C81" t="s">
        <v>232</v>
      </c>
      <c r="D81" t="s">
        <v>236</v>
      </c>
      <c r="E81" t="s">
        <v>269</v>
      </c>
      <c r="F81" s="4" t="s">
        <v>6</v>
      </c>
      <c r="G81">
        <v>20</v>
      </c>
      <c r="H81" s="8">
        <f>(B81/60)*G81</f>
        <v>19.333333333333332</v>
      </c>
      <c r="I81" t="s">
        <v>302</v>
      </c>
    </row>
    <row r="82" spans="1:9">
      <c r="A82" t="s">
        <v>75</v>
      </c>
      <c r="B82" s="10">
        <v>58</v>
      </c>
      <c r="C82" t="s">
        <v>232</v>
      </c>
      <c r="D82" t="s">
        <v>236</v>
      </c>
      <c r="E82" t="s">
        <v>269</v>
      </c>
      <c r="F82" t="s">
        <v>6</v>
      </c>
      <c r="G82">
        <v>20</v>
      </c>
      <c r="H82" s="8">
        <f>(B82/60)*G82</f>
        <v>19.333333333333332</v>
      </c>
    </row>
    <row r="83" spans="1:9">
      <c r="A83" t="s">
        <v>13</v>
      </c>
      <c r="B83" s="10">
        <v>47</v>
      </c>
      <c r="C83" t="s">
        <v>232</v>
      </c>
      <c r="D83" t="s">
        <v>236</v>
      </c>
      <c r="E83" t="s">
        <v>258</v>
      </c>
      <c r="F83" t="s">
        <v>6</v>
      </c>
      <c r="G83">
        <v>20</v>
      </c>
      <c r="H83" s="8">
        <f>(B83/60)*G83</f>
        <v>15.666666666666666</v>
      </c>
    </row>
    <row r="84" spans="1:9">
      <c r="A84" t="s">
        <v>127</v>
      </c>
      <c r="B84" s="10">
        <v>68</v>
      </c>
      <c r="C84" t="s">
        <v>232</v>
      </c>
      <c r="D84" t="s">
        <v>233</v>
      </c>
      <c r="E84" t="s">
        <v>276</v>
      </c>
      <c r="F84" s="4" t="s">
        <v>224</v>
      </c>
      <c r="G84">
        <v>20</v>
      </c>
      <c r="H84" s="8">
        <f>(B84/60)*G84</f>
        <v>22.666666666666664</v>
      </c>
      <c r="I84" t="s">
        <v>302</v>
      </c>
    </row>
    <row r="85" spans="1:9">
      <c r="A85" t="s">
        <v>156</v>
      </c>
      <c r="B85" s="10">
        <v>77</v>
      </c>
      <c r="C85" t="s">
        <v>232</v>
      </c>
      <c r="D85" t="s">
        <v>233</v>
      </c>
      <c r="E85" t="s">
        <v>285</v>
      </c>
      <c r="F85" t="s">
        <v>224</v>
      </c>
      <c r="G85">
        <v>15</v>
      </c>
      <c r="H85" s="8">
        <f>(B85/60)*G85</f>
        <v>19.25</v>
      </c>
      <c r="I85" t="s">
        <v>302</v>
      </c>
    </row>
    <row r="86" spans="1:9">
      <c r="A86" t="s">
        <v>3</v>
      </c>
      <c r="B86" s="10">
        <v>30238</v>
      </c>
      <c r="C86" t="s">
        <v>294</v>
      </c>
      <c r="D86" t="s">
        <v>297</v>
      </c>
      <c r="F86" t="s">
        <v>220</v>
      </c>
      <c r="G86">
        <v>2</v>
      </c>
      <c r="H86" s="8">
        <f>(B86/((52*37.5)-217.5-60)/60)*G86</f>
        <v>0.60265072247135032</v>
      </c>
      <c r="I86" t="s">
        <v>311</v>
      </c>
    </row>
    <row r="87" spans="1:9">
      <c r="A87" t="s">
        <v>77</v>
      </c>
      <c r="B87" s="10">
        <v>30238</v>
      </c>
      <c r="C87" t="s">
        <v>294</v>
      </c>
      <c r="D87" t="s">
        <v>297</v>
      </c>
      <c r="F87" t="s">
        <v>220</v>
      </c>
      <c r="G87">
        <v>5</v>
      </c>
      <c r="H87" s="8">
        <f>(B87/((52*37.5)-217.5-60)/60)*G87</f>
        <v>1.5066268061783759</v>
      </c>
      <c r="I87" t="s">
        <v>310</v>
      </c>
    </row>
    <row r="88" spans="1:9">
      <c r="A88" t="s">
        <v>33</v>
      </c>
      <c r="B88" s="10">
        <v>39</v>
      </c>
      <c r="C88" t="s">
        <v>232</v>
      </c>
      <c r="D88" t="s">
        <v>236</v>
      </c>
      <c r="E88" t="s">
        <v>238</v>
      </c>
      <c r="F88" t="s">
        <v>6</v>
      </c>
      <c r="G88">
        <v>20</v>
      </c>
      <c r="H88" s="8">
        <f>(B88/60)*G88</f>
        <v>13</v>
      </c>
    </row>
    <row r="89" spans="1:9">
      <c r="A89" t="s">
        <v>119</v>
      </c>
      <c r="B89" s="10">
        <v>58</v>
      </c>
      <c r="C89" t="s">
        <v>232</v>
      </c>
      <c r="D89" t="s">
        <v>236</v>
      </c>
      <c r="E89" t="s">
        <v>270</v>
      </c>
      <c r="F89" t="s">
        <v>6</v>
      </c>
      <c r="G89">
        <v>20</v>
      </c>
      <c r="H89" s="8">
        <f>(B89/60)*G89</f>
        <v>19.333333333333332</v>
      </c>
      <c r="I89" t="s">
        <v>302</v>
      </c>
    </row>
    <row r="90" spans="1:9">
      <c r="A90" t="s">
        <v>66</v>
      </c>
      <c r="B90" s="10">
        <v>3.7</v>
      </c>
      <c r="C90" t="s">
        <v>230</v>
      </c>
      <c r="D90" t="s">
        <v>231</v>
      </c>
      <c r="F90" t="s">
        <v>222</v>
      </c>
      <c r="G90">
        <v>20</v>
      </c>
      <c r="H90" s="8">
        <f>G90*B90</f>
        <v>74</v>
      </c>
    </row>
    <row r="91" spans="1:9">
      <c r="A91" t="s">
        <v>117</v>
      </c>
      <c r="B91" s="10">
        <v>44</v>
      </c>
      <c r="C91" t="s">
        <v>232</v>
      </c>
      <c r="D91" t="s">
        <v>233</v>
      </c>
      <c r="E91" t="s">
        <v>250</v>
      </c>
      <c r="F91" t="s">
        <v>224</v>
      </c>
      <c r="G91">
        <v>20</v>
      </c>
      <c r="H91" s="8">
        <f>(B91/60)*G91</f>
        <v>14.666666666666666</v>
      </c>
    </row>
    <row r="92" spans="1:9">
      <c r="A92" t="s">
        <v>109</v>
      </c>
      <c r="B92" s="10">
        <v>68</v>
      </c>
      <c r="C92" t="s">
        <v>232</v>
      </c>
      <c r="D92" t="s">
        <v>233</v>
      </c>
      <c r="E92" t="s">
        <v>272</v>
      </c>
      <c r="F92" t="s">
        <v>222</v>
      </c>
      <c r="G92">
        <v>20</v>
      </c>
      <c r="H92" s="8">
        <f>(B92/60)*G92</f>
        <v>22.666666666666664</v>
      </c>
    </row>
    <row r="93" spans="1:9">
      <c r="A93" t="s">
        <v>121</v>
      </c>
      <c r="B93" s="10">
        <v>57</v>
      </c>
      <c r="C93" t="s">
        <v>232</v>
      </c>
      <c r="D93" t="s">
        <v>233</v>
      </c>
      <c r="E93" t="s">
        <v>264</v>
      </c>
      <c r="F93" t="s">
        <v>224</v>
      </c>
      <c r="G93">
        <v>20</v>
      </c>
      <c r="H93" s="8">
        <f>(B93/60)*G93</f>
        <v>19</v>
      </c>
    </row>
    <row r="94" spans="1:9">
      <c r="A94" t="s">
        <v>140</v>
      </c>
      <c r="B94" s="10">
        <v>77</v>
      </c>
      <c r="C94" t="s">
        <v>232</v>
      </c>
      <c r="D94" t="s">
        <v>233</v>
      </c>
      <c r="E94" t="s">
        <v>286</v>
      </c>
      <c r="F94" t="s">
        <v>224</v>
      </c>
      <c r="G94">
        <v>15</v>
      </c>
      <c r="H94" s="8">
        <f>(B94/60)*G94</f>
        <v>19.25</v>
      </c>
    </row>
    <row r="95" spans="1:9">
      <c r="A95" t="s">
        <v>78</v>
      </c>
      <c r="B95" s="10">
        <v>44</v>
      </c>
      <c r="C95" t="s">
        <v>232</v>
      </c>
      <c r="D95" t="s">
        <v>233</v>
      </c>
      <c r="E95" t="s">
        <v>251</v>
      </c>
      <c r="F95" t="s">
        <v>224</v>
      </c>
      <c r="G95">
        <v>20</v>
      </c>
      <c r="H95" s="8">
        <f>(B95/60)*G95</f>
        <v>14.666666666666666</v>
      </c>
    </row>
    <row r="96" spans="1:9">
      <c r="A96" t="s">
        <v>54</v>
      </c>
      <c r="B96" s="10">
        <v>62428</v>
      </c>
      <c r="C96" t="s">
        <v>294</v>
      </c>
      <c r="D96" t="s">
        <v>300</v>
      </c>
      <c r="F96" t="s">
        <v>225</v>
      </c>
      <c r="G96">
        <v>5</v>
      </c>
      <c r="H96" s="8">
        <f>(B96/((52*37.5)-217.5-60)/60)*G96</f>
        <v>3.1105132037867467</v>
      </c>
      <c r="I96" t="s">
        <v>310</v>
      </c>
    </row>
    <row r="97" spans="1:9">
      <c r="A97" t="s">
        <v>8</v>
      </c>
      <c r="B97" s="10">
        <v>30238</v>
      </c>
      <c r="C97" t="s">
        <v>294</v>
      </c>
      <c r="D97" t="s">
        <v>297</v>
      </c>
      <c r="F97" t="s">
        <v>220</v>
      </c>
      <c r="G97" s="13">
        <v>10</v>
      </c>
      <c r="H97" s="12">
        <f>(B97/((52*37.5)-217.5-60)/60)*G97</f>
        <v>3.0132536123567517</v>
      </c>
      <c r="I97" t="s">
        <v>311</v>
      </c>
    </row>
    <row r="98" spans="1:9">
      <c r="A98" t="s">
        <v>123</v>
      </c>
      <c r="B98" s="10">
        <v>48</v>
      </c>
      <c r="C98" t="s">
        <v>232</v>
      </c>
      <c r="D98" t="s">
        <v>259</v>
      </c>
      <c r="E98" t="s">
        <v>261</v>
      </c>
      <c r="F98" t="s">
        <v>221</v>
      </c>
      <c r="G98">
        <v>5</v>
      </c>
      <c r="H98" s="8">
        <f>(B98/60)*G98</f>
        <v>4</v>
      </c>
      <c r="I98" t="s">
        <v>307</v>
      </c>
    </row>
    <row r="99" spans="1:9">
      <c r="A99" t="s">
        <v>12</v>
      </c>
      <c r="B99" s="10">
        <v>30238</v>
      </c>
      <c r="C99" t="s">
        <v>294</v>
      </c>
      <c r="D99" t="s">
        <v>297</v>
      </c>
      <c r="F99" t="s">
        <v>220</v>
      </c>
      <c r="G99">
        <v>10</v>
      </c>
      <c r="H99" s="8">
        <f>(B99/((52*37.5)-217.5-60)/60)*G99</f>
        <v>3.0132536123567517</v>
      </c>
      <c r="I99" t="s">
        <v>311</v>
      </c>
    </row>
    <row r="100" spans="1:9">
      <c r="A100" t="s">
        <v>62</v>
      </c>
      <c r="B100" s="10">
        <v>44</v>
      </c>
      <c r="C100" t="s">
        <v>232</v>
      </c>
      <c r="D100" t="s">
        <v>233</v>
      </c>
      <c r="E100" t="s">
        <v>252</v>
      </c>
      <c r="F100" t="s">
        <v>224</v>
      </c>
      <c r="G100">
        <v>20</v>
      </c>
      <c r="H100" s="8">
        <f>(B100/60)*G100</f>
        <v>14.666666666666666</v>
      </c>
    </row>
    <row r="101" spans="1:9">
      <c r="A101" t="s">
        <v>113</v>
      </c>
      <c r="B101" s="10">
        <v>77</v>
      </c>
      <c r="C101" t="s">
        <v>232</v>
      </c>
      <c r="D101" t="s">
        <v>233</v>
      </c>
      <c r="E101" t="s">
        <v>287</v>
      </c>
      <c r="F101" t="s">
        <v>224</v>
      </c>
      <c r="G101">
        <v>15</v>
      </c>
      <c r="H101" s="8">
        <f>(B101/60)*G101</f>
        <v>19.25</v>
      </c>
    </row>
    <row r="102" spans="1:9">
      <c r="A102" t="s">
        <v>72</v>
      </c>
      <c r="B102" s="10">
        <v>106</v>
      </c>
      <c r="C102" t="s">
        <v>232</v>
      </c>
      <c r="D102" t="s">
        <v>233</v>
      </c>
      <c r="E102" t="s">
        <v>293</v>
      </c>
      <c r="F102" t="s">
        <v>224</v>
      </c>
      <c r="G102">
        <v>20</v>
      </c>
      <c r="H102" s="8">
        <f>(B102/60)*G102</f>
        <v>35.333333333333329</v>
      </c>
    </row>
    <row r="103" spans="1:9">
      <c r="A103" t="s">
        <v>63</v>
      </c>
      <c r="B103" s="10">
        <v>57</v>
      </c>
      <c r="C103" t="s">
        <v>232</v>
      </c>
      <c r="D103" t="s">
        <v>233</v>
      </c>
      <c r="E103" t="s">
        <v>265</v>
      </c>
      <c r="F103" t="s">
        <v>224</v>
      </c>
      <c r="G103">
        <v>15</v>
      </c>
      <c r="H103" s="8">
        <f>(B103/60)*G103</f>
        <v>14.25</v>
      </c>
    </row>
    <row r="104" spans="1:9">
      <c r="A104" t="s">
        <v>59</v>
      </c>
      <c r="B104" s="10">
        <v>44</v>
      </c>
      <c r="C104" t="s">
        <v>232</v>
      </c>
      <c r="D104" t="s">
        <v>233</v>
      </c>
      <c r="E104" t="s">
        <v>246</v>
      </c>
      <c r="F104" t="s">
        <v>222</v>
      </c>
      <c r="G104">
        <v>20</v>
      </c>
      <c r="H104" s="8">
        <f>(B104/60)*G104</f>
        <v>14.666666666666666</v>
      </c>
    </row>
    <row r="105" spans="1:9">
      <c r="A105" t="s">
        <v>25</v>
      </c>
      <c r="B105" s="10">
        <v>57</v>
      </c>
      <c r="C105" t="s">
        <v>232</v>
      </c>
      <c r="D105" t="s">
        <v>233</v>
      </c>
      <c r="E105" t="s">
        <v>266</v>
      </c>
      <c r="F105" t="s">
        <v>224</v>
      </c>
      <c r="G105">
        <v>15</v>
      </c>
      <c r="H105" s="8">
        <f>(B105/60)*G105</f>
        <v>14.25</v>
      </c>
    </row>
    <row r="106" spans="1:9">
      <c r="A106" t="s">
        <v>22</v>
      </c>
      <c r="B106" s="10">
        <v>30238</v>
      </c>
      <c r="C106" t="s">
        <v>294</v>
      </c>
      <c r="D106" t="s">
        <v>297</v>
      </c>
      <c r="F106" t="s">
        <v>222</v>
      </c>
      <c r="G106">
        <v>20</v>
      </c>
      <c r="H106" s="8">
        <f>(B106/((52*37.5)-217.5-60)/60)*G106</f>
        <v>6.0265072247135034</v>
      </c>
      <c r="I106" t="s">
        <v>311</v>
      </c>
    </row>
    <row r="107" spans="1:9">
      <c r="A107" t="s">
        <v>7</v>
      </c>
      <c r="B107" s="10">
        <v>22984</v>
      </c>
      <c r="C107" t="s">
        <v>294</v>
      </c>
      <c r="D107" t="s">
        <v>295</v>
      </c>
      <c r="F107" t="s">
        <v>222</v>
      </c>
      <c r="G107">
        <v>20</v>
      </c>
      <c r="H107" s="28">
        <f>(B107/((52*37.5)-217.5-60)/60)*G107</f>
        <v>4.5807673143996013</v>
      </c>
      <c r="I107" t="s">
        <v>311</v>
      </c>
    </row>
    <row r="108" spans="1:9">
      <c r="A108" t="s">
        <v>47</v>
      </c>
      <c r="B108" s="10">
        <v>44</v>
      </c>
      <c r="C108" t="s">
        <v>232</v>
      </c>
      <c r="D108" t="s">
        <v>233</v>
      </c>
      <c r="E108" t="s">
        <v>253</v>
      </c>
      <c r="F108" t="s">
        <v>224</v>
      </c>
      <c r="G108">
        <v>20</v>
      </c>
      <c r="H108" s="8">
        <f>(B108/60)*G108</f>
        <v>14.666666666666666</v>
      </c>
    </row>
    <row r="109" spans="1:9">
      <c r="A109" t="s">
        <v>107</v>
      </c>
      <c r="B109" s="10">
        <v>77</v>
      </c>
      <c r="C109" t="s">
        <v>232</v>
      </c>
      <c r="D109" t="s">
        <v>233</v>
      </c>
      <c r="E109" t="s">
        <v>288</v>
      </c>
      <c r="F109" t="s">
        <v>224</v>
      </c>
      <c r="G109">
        <v>15</v>
      </c>
      <c r="H109" s="8">
        <f>(B109/60)*G109</f>
        <v>19.25</v>
      </c>
    </row>
    <row r="110" spans="1:9">
      <c r="A110" t="s">
        <v>95</v>
      </c>
      <c r="B110" s="10">
        <v>77</v>
      </c>
      <c r="C110" t="s">
        <v>232</v>
      </c>
      <c r="D110" t="s">
        <v>233</v>
      </c>
      <c r="E110" t="s">
        <v>288</v>
      </c>
      <c r="F110" t="s">
        <v>224</v>
      </c>
      <c r="G110">
        <v>15</v>
      </c>
      <c r="H110" s="8">
        <f>(B110/60)*G110</f>
        <v>19.25</v>
      </c>
    </row>
    <row r="111" spans="1:9">
      <c r="A111" t="s">
        <v>94</v>
      </c>
      <c r="B111" s="10">
        <v>68</v>
      </c>
      <c r="C111" t="s">
        <v>232</v>
      </c>
      <c r="D111" t="s">
        <v>233</v>
      </c>
      <c r="E111" t="s">
        <v>277</v>
      </c>
      <c r="F111" t="s">
        <v>224</v>
      </c>
      <c r="G111">
        <v>15</v>
      </c>
      <c r="H111" s="8">
        <f>(B111/60)*G111</f>
        <v>17</v>
      </c>
    </row>
    <row r="112" spans="1:9">
      <c r="A112" t="s">
        <v>90</v>
      </c>
      <c r="B112" s="10">
        <v>44</v>
      </c>
      <c r="C112" t="s">
        <v>232</v>
      </c>
      <c r="D112" t="s">
        <v>233</v>
      </c>
      <c r="E112" t="s">
        <v>249</v>
      </c>
      <c r="F112" t="s">
        <v>222</v>
      </c>
      <c r="G112">
        <v>20</v>
      </c>
      <c r="H112" s="8">
        <f>(B112/60)*G112</f>
        <v>14.666666666666666</v>
      </c>
    </row>
    <row r="113" spans="1:9">
      <c r="A113" t="s">
        <v>49</v>
      </c>
      <c r="B113" s="10">
        <v>3.7</v>
      </c>
      <c r="C113" t="s">
        <v>230</v>
      </c>
      <c r="D113" t="s">
        <v>231</v>
      </c>
      <c r="F113" t="s">
        <v>314</v>
      </c>
      <c r="G113">
        <v>15</v>
      </c>
      <c r="H113" s="8">
        <f>G113*B113</f>
        <v>55.5</v>
      </c>
      <c r="I113" t="s">
        <v>302</v>
      </c>
    </row>
    <row r="114" spans="1:9">
      <c r="A114" t="s">
        <v>149</v>
      </c>
      <c r="B114" s="10">
        <v>27214</v>
      </c>
      <c r="C114" t="s">
        <v>294</v>
      </c>
      <c r="D114" t="s">
        <v>296</v>
      </c>
      <c r="F114" t="s">
        <v>224</v>
      </c>
      <c r="G114">
        <v>20</v>
      </c>
      <c r="H114" s="8">
        <f>(B114/((52*37.5)-217.5-60)/60)*G114</f>
        <v>5.4238166417538611</v>
      </c>
      <c r="I114" t="s">
        <v>311</v>
      </c>
    </row>
    <row r="115" spans="1:9">
      <c r="A115" t="s">
        <v>105</v>
      </c>
      <c r="B115" s="10">
        <v>68</v>
      </c>
      <c r="C115" t="s">
        <v>232</v>
      </c>
      <c r="D115" t="s">
        <v>233</v>
      </c>
      <c r="E115" t="s">
        <v>278</v>
      </c>
      <c r="F115" s="4" t="s">
        <v>224</v>
      </c>
      <c r="G115">
        <v>20</v>
      </c>
      <c r="H115" s="8">
        <f>(B115/60)*G115</f>
        <v>22.666666666666664</v>
      </c>
      <c r="I115" t="s">
        <v>302</v>
      </c>
    </row>
    <row r="116" spans="1:9">
      <c r="A116" t="s">
        <v>100</v>
      </c>
      <c r="B116" s="10">
        <v>44</v>
      </c>
      <c r="C116" t="s">
        <v>232</v>
      </c>
      <c r="D116" t="s">
        <v>233</v>
      </c>
      <c r="E116" t="s">
        <v>254</v>
      </c>
      <c r="F116" t="s">
        <v>224</v>
      </c>
      <c r="G116">
        <v>20</v>
      </c>
      <c r="H116" s="8">
        <f>(B116/60)*G116</f>
        <v>14.666666666666666</v>
      </c>
    </row>
    <row r="117" spans="1:9">
      <c r="A117" t="s">
        <v>142</v>
      </c>
      <c r="B117" s="10">
        <v>44</v>
      </c>
      <c r="C117" t="s">
        <v>232</v>
      </c>
      <c r="D117" t="s">
        <v>233</v>
      </c>
      <c r="E117" t="s">
        <v>255</v>
      </c>
      <c r="F117" t="s">
        <v>224</v>
      </c>
      <c r="G117">
        <v>20</v>
      </c>
      <c r="H117" s="8">
        <f>(B117/60)*G117</f>
        <v>14.666666666666666</v>
      </c>
    </row>
    <row r="118" spans="1:9">
      <c r="A118" t="s">
        <v>126</v>
      </c>
      <c r="B118" s="10">
        <v>68</v>
      </c>
      <c r="C118" t="s">
        <v>232</v>
      </c>
      <c r="D118" t="s">
        <v>233</v>
      </c>
      <c r="E118" t="s">
        <v>279</v>
      </c>
      <c r="F118" t="s">
        <v>224</v>
      </c>
      <c r="G118">
        <v>15</v>
      </c>
      <c r="H118" s="8">
        <f>(B118/60)*G118</f>
        <v>17</v>
      </c>
    </row>
    <row r="119" spans="1:9">
      <c r="A119" t="s">
        <v>129</v>
      </c>
      <c r="B119" s="10">
        <v>57</v>
      </c>
      <c r="C119" t="s">
        <v>232</v>
      </c>
      <c r="D119" t="s">
        <v>233</v>
      </c>
      <c r="E119" t="s">
        <v>267</v>
      </c>
      <c r="F119" t="s">
        <v>224</v>
      </c>
      <c r="G119">
        <v>15</v>
      </c>
      <c r="H119" s="8">
        <f>(B119/60)*G119</f>
        <v>14.25</v>
      </c>
    </row>
    <row r="120" spans="1:9">
      <c r="A120" t="s">
        <v>84</v>
      </c>
      <c r="B120" s="10">
        <v>3.7</v>
      </c>
      <c r="C120" t="s">
        <v>230</v>
      </c>
      <c r="D120" t="s">
        <v>231</v>
      </c>
      <c r="F120" t="s">
        <v>224</v>
      </c>
      <c r="G120">
        <v>20</v>
      </c>
      <c r="H120" s="8">
        <f>G120*B120</f>
        <v>74</v>
      </c>
    </row>
    <row r="121" spans="1:9">
      <c r="A121" t="s">
        <v>48</v>
      </c>
      <c r="B121" s="10">
        <v>30238</v>
      </c>
      <c r="C121" t="s">
        <v>294</v>
      </c>
      <c r="D121" t="s">
        <v>297</v>
      </c>
      <c r="F121" t="s">
        <v>220</v>
      </c>
      <c r="G121">
        <v>10</v>
      </c>
      <c r="H121" s="8">
        <f>(B121/((52*37.5)-217.5-60)/60)*G121</f>
        <v>3.0132536123567517</v>
      </c>
      <c r="I121" t="s">
        <v>311</v>
      </c>
    </row>
    <row r="122" spans="1:9">
      <c r="A122" t="s">
        <v>106</v>
      </c>
      <c r="B122" s="10">
        <v>62428</v>
      </c>
      <c r="C122" t="s">
        <v>294</v>
      </c>
      <c r="D122" t="s">
        <v>300</v>
      </c>
      <c r="F122" t="s">
        <v>223</v>
      </c>
      <c r="G122">
        <v>20</v>
      </c>
      <c r="H122" s="8">
        <f>(B122/((52*37.5)-217.5-60)/60)*G122</f>
        <v>12.442052815146987</v>
      </c>
      <c r="I122" t="s">
        <v>311</v>
      </c>
    </row>
    <row r="123" spans="1:9">
      <c r="A123" t="s">
        <v>40</v>
      </c>
      <c r="B123" s="10">
        <v>39</v>
      </c>
      <c r="C123" t="s">
        <v>232</v>
      </c>
      <c r="D123" t="s">
        <v>233</v>
      </c>
      <c r="E123" t="s">
        <v>239</v>
      </c>
      <c r="F123" t="s">
        <v>222</v>
      </c>
      <c r="G123">
        <v>20</v>
      </c>
      <c r="H123" s="8">
        <f>(B123/60)*G123</f>
        <v>13</v>
      </c>
    </row>
    <row r="124" spans="1:9">
      <c r="A124" t="s">
        <v>11</v>
      </c>
      <c r="B124" s="10">
        <v>3.7</v>
      </c>
      <c r="C124" t="s">
        <v>230</v>
      </c>
      <c r="D124" t="s">
        <v>231</v>
      </c>
      <c r="F124" s="9" t="s">
        <v>313</v>
      </c>
      <c r="G124">
        <v>15</v>
      </c>
      <c r="H124" s="8">
        <f>G124*B124</f>
        <v>55.5</v>
      </c>
    </row>
    <row r="125" spans="1:9">
      <c r="A125" t="s">
        <v>50</v>
      </c>
      <c r="B125" s="10">
        <v>30238</v>
      </c>
      <c r="C125" t="s">
        <v>294</v>
      </c>
      <c r="D125" t="s">
        <v>297</v>
      </c>
      <c r="F125" t="s">
        <v>220</v>
      </c>
      <c r="G125">
        <v>10</v>
      </c>
      <c r="H125" s="8">
        <f>(B125/((52*37.5)-217.5-60)/60)*G125</f>
        <v>3.0132536123567517</v>
      </c>
      <c r="I125" t="s">
        <v>311</v>
      </c>
    </row>
    <row r="126" spans="1:9">
      <c r="A126" t="s">
        <v>4</v>
      </c>
      <c r="B126" s="10">
        <v>62428</v>
      </c>
      <c r="C126" t="s">
        <v>294</v>
      </c>
      <c r="D126" t="s">
        <v>300</v>
      </c>
      <c r="F126" t="s">
        <v>220</v>
      </c>
      <c r="G126">
        <v>10</v>
      </c>
      <c r="H126" s="8">
        <f>(B126/((52*37.5)-217.5-60)/60)*G126</f>
        <v>6.2210264075734933</v>
      </c>
      <c r="I126" t="s">
        <v>311</v>
      </c>
    </row>
    <row r="127" spans="1:9">
      <c r="A127" t="s">
        <v>92</v>
      </c>
      <c r="B127" s="10">
        <v>3.7</v>
      </c>
      <c r="C127" t="s">
        <v>230</v>
      </c>
      <c r="D127" t="s">
        <v>231</v>
      </c>
      <c r="F127" t="s">
        <v>314</v>
      </c>
      <c r="G127">
        <v>15</v>
      </c>
      <c r="H127" s="8">
        <f>G127*B127</f>
        <v>55.5</v>
      </c>
    </row>
    <row r="128" spans="1:9">
      <c r="A128" t="s">
        <v>18</v>
      </c>
      <c r="B128" s="10">
        <v>30238</v>
      </c>
      <c r="C128" t="s">
        <v>294</v>
      </c>
      <c r="D128" t="s">
        <v>297</v>
      </c>
      <c r="F128" t="s">
        <v>220</v>
      </c>
      <c r="G128">
        <v>10</v>
      </c>
      <c r="H128" s="8">
        <f>(B128/((52*37.5)-217.5-60)/60)*G128</f>
        <v>3.0132536123567517</v>
      </c>
      <c r="I128" t="s">
        <v>311</v>
      </c>
    </row>
    <row r="129" spans="1:9">
      <c r="A129" t="s">
        <v>17</v>
      </c>
      <c r="B129" s="10">
        <v>3.7</v>
      </c>
      <c r="C129" t="s">
        <v>230</v>
      </c>
      <c r="D129" t="s">
        <v>231</v>
      </c>
      <c r="F129" s="9" t="s">
        <v>313</v>
      </c>
      <c r="G129">
        <v>15</v>
      </c>
      <c r="H129" s="8">
        <f>G129*B129</f>
        <v>55.5</v>
      </c>
    </row>
    <row r="130" spans="1:9">
      <c r="A130" t="s">
        <v>153</v>
      </c>
      <c r="B130" s="10">
        <v>58</v>
      </c>
      <c r="C130" t="s">
        <v>232</v>
      </c>
      <c r="D130" t="s">
        <v>236</v>
      </c>
      <c r="E130" t="s">
        <v>269</v>
      </c>
      <c r="F130" t="s">
        <v>6</v>
      </c>
      <c r="G130">
        <v>20</v>
      </c>
      <c r="H130" s="8">
        <f>(B130/60)*G130</f>
        <v>19.333333333333332</v>
      </c>
    </row>
    <row r="131" spans="1:9">
      <c r="A131" t="s">
        <v>143</v>
      </c>
      <c r="B131" s="10">
        <v>48</v>
      </c>
      <c r="C131" t="s">
        <v>232</v>
      </c>
      <c r="D131" t="s">
        <v>259</v>
      </c>
      <c r="E131" t="s">
        <v>260</v>
      </c>
      <c r="F131" t="s">
        <v>221</v>
      </c>
      <c r="G131">
        <v>5</v>
      </c>
      <c r="H131" s="8">
        <f>(B131/60)*G131</f>
        <v>4</v>
      </c>
      <c r="I131" t="s">
        <v>307</v>
      </c>
    </row>
    <row r="132" spans="1:9">
      <c r="A132" t="s">
        <v>150</v>
      </c>
      <c r="B132" s="10">
        <v>48</v>
      </c>
      <c r="C132" t="s">
        <v>232</v>
      </c>
      <c r="D132" t="s">
        <v>259</v>
      </c>
      <c r="E132" t="s">
        <v>260</v>
      </c>
      <c r="F132" t="s">
        <v>221</v>
      </c>
      <c r="G132">
        <v>5</v>
      </c>
      <c r="H132" s="8">
        <f>(B132/60)*G132</f>
        <v>4</v>
      </c>
      <c r="I132" t="s">
        <v>307</v>
      </c>
    </row>
    <row r="133" spans="1:9">
      <c r="A133" t="s">
        <v>114</v>
      </c>
      <c r="B133" s="10">
        <v>48</v>
      </c>
      <c r="C133" t="s">
        <v>232</v>
      </c>
      <c r="D133" t="s">
        <v>259</v>
      </c>
      <c r="E133" t="s">
        <v>260</v>
      </c>
      <c r="F133" t="s">
        <v>221</v>
      </c>
      <c r="G133">
        <v>5</v>
      </c>
      <c r="H133" s="8">
        <f>(B133/60)*G133</f>
        <v>4</v>
      </c>
      <c r="I133" t="s">
        <v>307</v>
      </c>
    </row>
    <row r="134" spans="1:9">
      <c r="A134" t="s">
        <v>30</v>
      </c>
      <c r="B134" s="10">
        <v>58</v>
      </c>
      <c r="C134" t="s">
        <v>232</v>
      </c>
      <c r="D134" t="s">
        <v>236</v>
      </c>
      <c r="E134" t="s">
        <v>269</v>
      </c>
      <c r="F134" t="s">
        <v>6</v>
      </c>
      <c r="G134">
        <v>20</v>
      </c>
      <c r="H134" s="8">
        <f>(B134/60)*G134</f>
        <v>19.333333333333332</v>
      </c>
    </row>
    <row r="135" spans="1:9">
      <c r="A135" t="s">
        <v>68</v>
      </c>
      <c r="B135" s="10">
        <v>58</v>
      </c>
      <c r="C135" t="s">
        <v>232</v>
      </c>
      <c r="D135" t="s">
        <v>236</v>
      </c>
      <c r="E135" t="s">
        <v>270</v>
      </c>
      <c r="F135" s="4" t="s">
        <v>224</v>
      </c>
      <c r="G135">
        <v>15</v>
      </c>
      <c r="H135" s="8">
        <f>(B135/60)*G135</f>
        <v>14.5</v>
      </c>
      <c r="I135" t="s">
        <v>302</v>
      </c>
    </row>
    <row r="136" spans="1:9">
      <c r="A136" t="s">
        <v>111</v>
      </c>
      <c r="B136" s="10">
        <v>3.7</v>
      </c>
      <c r="C136" t="s">
        <v>230</v>
      </c>
      <c r="D136" t="s">
        <v>231</v>
      </c>
      <c r="F136" t="s">
        <v>314</v>
      </c>
      <c r="G136">
        <v>15</v>
      </c>
      <c r="H136" s="8">
        <f>G136*B136</f>
        <v>55.5</v>
      </c>
    </row>
    <row r="137" spans="1:9">
      <c r="A137" t="s">
        <v>21</v>
      </c>
      <c r="B137" s="10">
        <v>47</v>
      </c>
      <c r="C137" t="s">
        <v>232</v>
      </c>
      <c r="D137" t="s">
        <v>236</v>
      </c>
      <c r="E137" t="s">
        <v>258</v>
      </c>
      <c r="F137" t="s">
        <v>6</v>
      </c>
      <c r="G137">
        <v>20</v>
      </c>
      <c r="H137" s="8">
        <f>(B137/60)*G137</f>
        <v>15.666666666666666</v>
      </c>
    </row>
    <row r="138" spans="1:9">
      <c r="A138" t="s">
        <v>154</v>
      </c>
      <c r="B138" s="10">
        <v>27214</v>
      </c>
      <c r="C138" t="s">
        <v>294</v>
      </c>
      <c r="D138" t="s">
        <v>296</v>
      </c>
      <c r="F138" t="s">
        <v>6</v>
      </c>
      <c r="G138">
        <v>20</v>
      </c>
      <c r="H138" s="8">
        <f>(B138/((52*37.5)-217.5-60)/60)*G138</f>
        <v>5.4238166417538611</v>
      </c>
      <c r="I138" t="s">
        <v>311</v>
      </c>
    </row>
    <row r="139" spans="1:9">
      <c r="A139" t="s">
        <v>138</v>
      </c>
      <c r="B139" s="10">
        <v>39</v>
      </c>
      <c r="C139" t="s">
        <v>232</v>
      </c>
      <c r="D139" t="s">
        <v>236</v>
      </c>
      <c r="E139" t="s">
        <v>238</v>
      </c>
      <c r="F139" s="4" t="s">
        <v>222</v>
      </c>
      <c r="G139">
        <v>20</v>
      </c>
      <c r="H139" s="8">
        <f>(B139/60)*G139</f>
        <v>13</v>
      </c>
      <c r="I139" t="s">
        <v>302</v>
      </c>
    </row>
    <row r="140" spans="1:9">
      <c r="A140" t="s">
        <v>108</v>
      </c>
      <c r="B140" s="10">
        <v>27214</v>
      </c>
      <c r="C140" t="s">
        <v>294</v>
      </c>
      <c r="D140" t="s">
        <v>296</v>
      </c>
      <c r="F140" t="s">
        <v>6</v>
      </c>
      <c r="G140">
        <v>20</v>
      </c>
      <c r="H140" s="8">
        <f>(B140/((52*37.5)-217.5-60)/60)*G140</f>
        <v>5.4238166417538611</v>
      </c>
      <c r="I140" t="s">
        <v>311</v>
      </c>
    </row>
    <row r="141" spans="1:9">
      <c r="A141" t="s">
        <v>91</v>
      </c>
      <c r="B141" s="10">
        <v>27214</v>
      </c>
      <c r="C141" t="s">
        <v>294</v>
      </c>
      <c r="D141" t="s">
        <v>296</v>
      </c>
      <c r="F141" t="s">
        <v>6</v>
      </c>
      <c r="G141">
        <v>20</v>
      </c>
      <c r="H141" s="8">
        <f>(B141/((52*37.5)-217.5-60)/60)*G141</f>
        <v>5.4238166417538611</v>
      </c>
      <c r="I141" t="s">
        <v>311</v>
      </c>
    </row>
    <row r="142" spans="1:9">
      <c r="A142" t="s">
        <v>145</v>
      </c>
      <c r="B142" s="10">
        <v>27214</v>
      </c>
      <c r="C142" t="s">
        <v>294</v>
      </c>
      <c r="D142" t="s">
        <v>296</v>
      </c>
      <c r="F142" t="s">
        <v>224</v>
      </c>
      <c r="G142">
        <v>20</v>
      </c>
      <c r="H142" s="8">
        <f>(B142/((52*37.5)-217.5-60)/60)*G142</f>
        <v>5.4238166417538611</v>
      </c>
      <c r="I142" t="s">
        <v>311</v>
      </c>
    </row>
    <row r="143" spans="1:9">
      <c r="A143" t="s">
        <v>16</v>
      </c>
      <c r="B143" s="10">
        <v>58</v>
      </c>
      <c r="C143" t="s">
        <v>232</v>
      </c>
      <c r="D143" t="s">
        <v>236</v>
      </c>
      <c r="E143" t="s">
        <v>269</v>
      </c>
      <c r="F143" t="s">
        <v>6</v>
      </c>
      <c r="G143">
        <v>30</v>
      </c>
      <c r="H143" s="8">
        <f>(B143/60)*G143</f>
        <v>29</v>
      </c>
    </row>
    <row r="144" spans="1:9">
      <c r="A144" t="s">
        <v>97</v>
      </c>
      <c r="B144" s="10">
        <v>22984</v>
      </c>
      <c r="C144" t="s">
        <v>294</v>
      </c>
      <c r="D144" t="s">
        <v>295</v>
      </c>
      <c r="F144" t="s">
        <v>222</v>
      </c>
      <c r="G144">
        <v>20</v>
      </c>
      <c r="H144" s="8">
        <f>(B144/((52*37.5)-217.5-60)/60)*G144</f>
        <v>4.5807673143996013</v>
      </c>
      <c r="I144" t="s">
        <v>311</v>
      </c>
    </row>
    <row r="145" spans="1:9">
      <c r="A145" t="s">
        <v>96</v>
      </c>
      <c r="B145" s="10">
        <v>62428</v>
      </c>
      <c r="C145" t="s">
        <v>294</v>
      </c>
      <c r="D145" t="s">
        <v>300</v>
      </c>
      <c r="F145" t="s">
        <v>220</v>
      </c>
      <c r="G145">
        <v>10</v>
      </c>
      <c r="H145" s="8">
        <f>(B145/((52*37.5)-217.5-60)/60)*G145</f>
        <v>6.2210264075734933</v>
      </c>
      <c r="I145" t="s">
        <v>311</v>
      </c>
    </row>
    <row r="146" spans="1:9">
      <c r="A146" t="s">
        <v>19</v>
      </c>
      <c r="B146" s="10">
        <v>30238</v>
      </c>
      <c r="C146" t="s">
        <v>294</v>
      </c>
      <c r="D146" t="s">
        <v>297</v>
      </c>
      <c r="F146" t="s">
        <v>220</v>
      </c>
      <c r="G146">
        <v>10</v>
      </c>
      <c r="H146" s="8">
        <f>(B146/((52*37.5)-217.5-60)/60)*G146</f>
        <v>3.0132536123567517</v>
      </c>
      <c r="I146" t="s">
        <v>311</v>
      </c>
    </row>
    <row r="147" spans="1:9">
      <c r="A147" t="s">
        <v>102</v>
      </c>
      <c r="B147" s="10">
        <v>44</v>
      </c>
      <c r="C147" t="s">
        <v>232</v>
      </c>
      <c r="D147" t="s">
        <v>233</v>
      </c>
      <c r="E147" t="s">
        <v>256</v>
      </c>
      <c r="F147" s="4" t="s">
        <v>222</v>
      </c>
      <c r="G147">
        <v>20</v>
      </c>
      <c r="H147" s="8">
        <f>(B147/60)*G147</f>
        <v>14.666666666666666</v>
      </c>
      <c r="I147" t="s">
        <v>302</v>
      </c>
    </row>
    <row r="148" spans="1:9">
      <c r="A148" t="s">
        <v>130</v>
      </c>
      <c r="B148" s="10">
        <v>27214</v>
      </c>
      <c r="C148" t="s">
        <v>294</v>
      </c>
      <c r="D148" t="s">
        <v>296</v>
      </c>
      <c r="F148" t="s">
        <v>222</v>
      </c>
      <c r="G148">
        <v>20</v>
      </c>
      <c r="H148" s="8">
        <f>(B148/((52*37.5)-217.5-60)/60)*G148</f>
        <v>5.4238166417538611</v>
      </c>
      <c r="I148" t="s">
        <v>311</v>
      </c>
    </row>
    <row r="149" spans="1:9">
      <c r="A149" t="s">
        <v>15</v>
      </c>
      <c r="B149" s="10">
        <v>90859</v>
      </c>
      <c r="C149" t="s">
        <v>294</v>
      </c>
      <c r="D149" t="s">
        <v>301</v>
      </c>
      <c r="F149" t="s">
        <v>220</v>
      </c>
      <c r="G149">
        <v>10</v>
      </c>
      <c r="H149" s="8">
        <f>(B149/((52*37.5)-217.5-60)/60)*G149</f>
        <v>9.0542102640757349</v>
      </c>
      <c r="I149" t="s">
        <v>311</v>
      </c>
    </row>
    <row r="150" spans="1:9">
      <c r="A150" t="s">
        <v>135</v>
      </c>
      <c r="B150" s="10">
        <v>39</v>
      </c>
      <c r="C150" t="s">
        <v>232</v>
      </c>
      <c r="D150" t="s">
        <v>233</v>
      </c>
      <c r="E150" t="s">
        <v>241</v>
      </c>
      <c r="F150" t="s">
        <v>224</v>
      </c>
      <c r="G150">
        <v>10</v>
      </c>
      <c r="H150" s="8">
        <f>(B150/60)*G150</f>
        <v>6.5</v>
      </c>
    </row>
    <row r="151" spans="1:9">
      <c r="A151" t="s">
        <v>85</v>
      </c>
      <c r="B151" s="10">
        <v>57</v>
      </c>
      <c r="C151" t="s">
        <v>232</v>
      </c>
      <c r="D151" t="s">
        <v>233</v>
      </c>
      <c r="E151" t="s">
        <v>268</v>
      </c>
      <c r="F151" s="4" t="s">
        <v>224</v>
      </c>
      <c r="G151">
        <v>20</v>
      </c>
      <c r="H151" s="8">
        <f>(B151/60)*G151</f>
        <v>19</v>
      </c>
      <c r="I151" t="s">
        <v>302</v>
      </c>
    </row>
    <row r="152" spans="1:9">
      <c r="A152" t="s">
        <v>83</v>
      </c>
      <c r="B152" s="10">
        <v>39</v>
      </c>
      <c r="C152" t="s">
        <v>232</v>
      </c>
      <c r="D152" t="s">
        <v>233</v>
      </c>
      <c r="E152" t="s">
        <v>242</v>
      </c>
      <c r="F152" t="s">
        <v>222</v>
      </c>
      <c r="G152">
        <v>20</v>
      </c>
      <c r="H152" s="8">
        <f>(B152/60)*G152</f>
        <v>13</v>
      </c>
    </row>
    <row r="153" spans="1:9">
      <c r="A153" t="s">
        <v>128</v>
      </c>
      <c r="B153" s="10">
        <v>3.7</v>
      </c>
      <c r="C153" t="s">
        <v>230</v>
      </c>
      <c r="D153" t="s">
        <v>231</v>
      </c>
      <c r="F153" t="s">
        <v>314</v>
      </c>
      <c r="G153">
        <v>15</v>
      </c>
      <c r="H153" s="8">
        <f>G153*B153</f>
        <v>55.5</v>
      </c>
    </row>
    <row r="154" spans="1:9">
      <c r="A154" t="s">
        <v>27</v>
      </c>
      <c r="B154" s="10">
        <v>90859</v>
      </c>
      <c r="C154" t="s">
        <v>294</v>
      </c>
      <c r="D154" t="s">
        <v>301</v>
      </c>
      <c r="F154" t="s">
        <v>220</v>
      </c>
      <c r="G154">
        <v>10</v>
      </c>
      <c r="H154" s="8">
        <f>(B154/((52*37.5)-217.5-60)/60)*G154</f>
        <v>9.0542102640757349</v>
      </c>
      <c r="I154" t="s">
        <v>311</v>
      </c>
    </row>
    <row r="155" spans="1:9">
      <c r="A155" t="s">
        <v>132</v>
      </c>
      <c r="B155" s="10">
        <v>69</v>
      </c>
      <c r="C155" t="s">
        <v>232</v>
      </c>
      <c r="D155" t="s">
        <v>236</v>
      </c>
      <c r="E155" t="s">
        <v>280</v>
      </c>
      <c r="F155" t="s">
        <v>220</v>
      </c>
      <c r="G155">
        <v>10</v>
      </c>
      <c r="H155" s="8">
        <f>(B155/60)*G155</f>
        <v>11.5</v>
      </c>
      <c r="I155" t="s">
        <v>302</v>
      </c>
    </row>
    <row r="156" spans="1:9">
      <c r="A156" t="s">
        <v>98</v>
      </c>
      <c r="B156" s="10">
        <v>62428</v>
      </c>
      <c r="C156" t="s">
        <v>294</v>
      </c>
      <c r="D156" t="s">
        <v>300</v>
      </c>
      <c r="F156" t="s">
        <v>220</v>
      </c>
      <c r="G156">
        <v>15</v>
      </c>
      <c r="H156" s="8">
        <f>(B156/((52*37.5)-217.5-60)/60)*G156</f>
        <v>9.33153961136024</v>
      </c>
      <c r="I156" t="s">
        <v>311</v>
      </c>
    </row>
    <row r="157" spans="1:9">
      <c r="A157" t="s">
        <v>104</v>
      </c>
      <c r="B157" s="10">
        <v>62428</v>
      </c>
      <c r="C157" t="s">
        <v>294</v>
      </c>
      <c r="D157" t="s">
        <v>300</v>
      </c>
      <c r="F157" t="s">
        <v>220</v>
      </c>
      <c r="G157">
        <v>15</v>
      </c>
      <c r="H157" s="8">
        <f>(B157/((52*37.5)-217.5-60)/60)*G157</f>
        <v>9.33153961136024</v>
      </c>
      <c r="I157" t="s">
        <v>311</v>
      </c>
    </row>
    <row r="158" spans="1:9">
      <c r="B158" s="10">
        <v>44</v>
      </c>
      <c r="C158" t="s">
        <v>232</v>
      </c>
      <c r="D158" t="s">
        <v>233</v>
      </c>
      <c r="E158" t="s">
        <v>361</v>
      </c>
      <c r="F158" t="s">
        <v>363</v>
      </c>
      <c r="G158">
        <v>10</v>
      </c>
      <c r="H158" s="8">
        <f>(B158/60)*G158</f>
        <v>7.333333333333333</v>
      </c>
    </row>
  </sheetData>
  <autoFilter ref="A1:I158" xr:uid="{00000000-0001-0000-0000-000000000000}">
    <sortState xmlns:xlrd2="http://schemas.microsoft.com/office/spreadsheetml/2017/richdata2" ref="A9:I152">
      <sortCondition ref="G1:G158"/>
    </sortState>
  </autoFilter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3DD6-2606-430A-8325-26C37E2D1AD1}">
  <dimension ref="A1:J38"/>
  <sheetViews>
    <sheetView workbookViewId="0">
      <selection activeCell="G1" sqref="G1"/>
    </sheetView>
  </sheetViews>
  <sheetFormatPr defaultRowHeight="14.4"/>
  <cols>
    <col min="1" max="1" width="23.5546875" customWidth="1"/>
    <col min="2" max="2" width="61" bestFit="1" customWidth="1"/>
    <col min="3" max="3" width="13.21875" style="10" customWidth="1"/>
    <col min="4" max="4" width="17.21875" customWidth="1"/>
    <col min="5" max="5" width="21" customWidth="1"/>
    <col min="6" max="6" width="103.44140625" bestFit="1" customWidth="1"/>
    <col min="7" max="7" width="27.21875" customWidth="1"/>
    <col min="8" max="8" width="48" bestFit="1" customWidth="1"/>
    <col min="9" max="9" width="17.44140625" style="13" customWidth="1"/>
  </cols>
  <sheetData>
    <row r="1" spans="1:10">
      <c r="A1" s="1" t="s">
        <v>158</v>
      </c>
      <c r="B1" s="1" t="s">
        <v>159</v>
      </c>
      <c r="C1" s="14" t="s">
        <v>226</v>
      </c>
      <c r="D1" s="5" t="s">
        <v>227</v>
      </c>
      <c r="E1" s="5" t="s">
        <v>303</v>
      </c>
      <c r="F1" s="5" t="s">
        <v>228</v>
      </c>
      <c r="G1" s="6" t="s">
        <v>1</v>
      </c>
      <c r="H1" s="6" t="s">
        <v>229</v>
      </c>
      <c r="I1" s="11" t="s">
        <v>304</v>
      </c>
      <c r="J1" s="15" t="s">
        <v>0</v>
      </c>
    </row>
    <row r="2" spans="1:10">
      <c r="A2">
        <v>38004446</v>
      </c>
      <c r="B2" t="s">
        <v>160</v>
      </c>
      <c r="C2" s="10">
        <v>3.7</v>
      </c>
      <c r="D2" t="s">
        <v>230</v>
      </c>
      <c r="E2" t="s">
        <v>231</v>
      </c>
      <c r="G2" s="4" t="s">
        <v>313</v>
      </c>
      <c r="H2">
        <v>15</v>
      </c>
      <c r="I2" s="12">
        <f>H2*C2</f>
        <v>55.5</v>
      </c>
    </row>
    <row r="3" spans="1:10">
      <c r="A3">
        <v>38004376</v>
      </c>
      <c r="B3" t="s">
        <v>161</v>
      </c>
      <c r="C3" s="10">
        <v>3.7</v>
      </c>
      <c r="D3" t="s">
        <v>230</v>
      </c>
      <c r="E3" t="s">
        <v>231</v>
      </c>
      <c r="G3" t="s">
        <v>222</v>
      </c>
      <c r="H3">
        <v>20</v>
      </c>
      <c r="I3" s="12">
        <f>H3*C3</f>
        <v>74</v>
      </c>
    </row>
    <row r="4" spans="1:10">
      <c r="A4">
        <v>38003794</v>
      </c>
      <c r="B4" t="s">
        <v>177</v>
      </c>
      <c r="C4" s="10">
        <v>3.7</v>
      </c>
      <c r="D4" t="s">
        <v>230</v>
      </c>
      <c r="E4" t="s">
        <v>231</v>
      </c>
      <c r="G4" t="s">
        <v>314</v>
      </c>
      <c r="H4">
        <v>15</v>
      </c>
      <c r="I4" s="12">
        <f>H4*C4</f>
        <v>55.5</v>
      </c>
    </row>
    <row r="5" spans="1:10">
      <c r="A5">
        <v>38003760</v>
      </c>
      <c r="B5" t="s">
        <v>188</v>
      </c>
      <c r="C5" s="10">
        <v>39</v>
      </c>
      <c r="D5" t="s">
        <v>232</v>
      </c>
      <c r="E5" t="s">
        <v>236</v>
      </c>
      <c r="F5" t="s">
        <v>238</v>
      </c>
      <c r="G5" s="4" t="s">
        <v>222</v>
      </c>
      <c r="H5">
        <v>20</v>
      </c>
      <c r="I5" s="12">
        <f t="shared" ref="I5:I26" si="0">(C5/60)*H5</f>
        <v>13</v>
      </c>
    </row>
    <row r="6" spans="1:10">
      <c r="A6" s="27">
        <v>0</v>
      </c>
      <c r="B6" t="s">
        <v>166</v>
      </c>
      <c r="C6" s="10">
        <v>44</v>
      </c>
      <c r="D6" t="s">
        <v>232</v>
      </c>
      <c r="E6" t="s">
        <v>233</v>
      </c>
      <c r="F6" t="s">
        <v>362</v>
      </c>
      <c r="G6" t="s">
        <v>167</v>
      </c>
      <c r="H6">
        <v>10</v>
      </c>
      <c r="I6" s="8">
        <f t="shared" si="0"/>
        <v>7.333333333333333</v>
      </c>
      <c r="J6" t="s">
        <v>360</v>
      </c>
    </row>
    <row r="7" spans="1:10">
      <c r="A7">
        <v>38004056</v>
      </c>
      <c r="B7" t="s">
        <v>179</v>
      </c>
      <c r="C7" s="10">
        <v>44</v>
      </c>
      <c r="D7" t="s">
        <v>232</v>
      </c>
      <c r="E7" t="s">
        <v>233</v>
      </c>
      <c r="F7" t="s">
        <v>253</v>
      </c>
      <c r="G7" t="s">
        <v>224</v>
      </c>
      <c r="H7">
        <v>20</v>
      </c>
      <c r="I7" s="12">
        <f t="shared" si="0"/>
        <v>14.666666666666666</v>
      </c>
    </row>
    <row r="8" spans="1:10">
      <c r="A8">
        <v>38003696</v>
      </c>
      <c r="B8" t="s">
        <v>62</v>
      </c>
      <c r="C8" s="10">
        <v>44</v>
      </c>
      <c r="D8" t="s">
        <v>232</v>
      </c>
      <c r="E8" t="s">
        <v>233</v>
      </c>
      <c r="F8" t="s">
        <v>252</v>
      </c>
      <c r="G8" t="s">
        <v>224</v>
      </c>
      <c r="H8">
        <v>20</v>
      </c>
      <c r="I8" s="12">
        <f t="shared" si="0"/>
        <v>14.666666666666666</v>
      </c>
    </row>
    <row r="9" spans="1:10">
      <c r="A9">
        <v>38004030</v>
      </c>
      <c r="B9" t="s">
        <v>180</v>
      </c>
      <c r="C9" s="10">
        <v>44</v>
      </c>
      <c r="D9" t="s">
        <v>232</v>
      </c>
      <c r="E9" t="s">
        <v>233</v>
      </c>
      <c r="F9" t="s">
        <v>245</v>
      </c>
      <c r="G9" t="s">
        <v>224</v>
      </c>
      <c r="H9">
        <v>20</v>
      </c>
      <c r="I9" s="12">
        <f t="shared" si="0"/>
        <v>14.666666666666666</v>
      </c>
    </row>
    <row r="10" spans="1:10">
      <c r="A10">
        <v>38003627</v>
      </c>
      <c r="B10" t="s">
        <v>182</v>
      </c>
      <c r="C10" s="10">
        <v>44</v>
      </c>
      <c r="D10" t="s">
        <v>232</v>
      </c>
      <c r="E10" t="s">
        <v>233</v>
      </c>
      <c r="F10" t="s">
        <v>246</v>
      </c>
      <c r="G10" t="s">
        <v>222</v>
      </c>
      <c r="H10">
        <v>20</v>
      </c>
      <c r="I10" s="12">
        <f t="shared" si="0"/>
        <v>14.666666666666666</v>
      </c>
    </row>
    <row r="11" spans="1:10">
      <c r="A11">
        <v>38003690</v>
      </c>
      <c r="B11" t="s">
        <v>183</v>
      </c>
      <c r="C11" s="10">
        <v>44</v>
      </c>
      <c r="D11" t="s">
        <v>232</v>
      </c>
      <c r="E11" t="s">
        <v>233</v>
      </c>
      <c r="F11" t="s">
        <v>247</v>
      </c>
      <c r="G11" t="s">
        <v>224</v>
      </c>
      <c r="H11">
        <v>20</v>
      </c>
      <c r="I11" s="12">
        <f t="shared" si="0"/>
        <v>14.666666666666666</v>
      </c>
    </row>
    <row r="12" spans="1:10">
      <c r="A12">
        <v>38004176</v>
      </c>
      <c r="B12" t="s">
        <v>186</v>
      </c>
      <c r="C12" s="10">
        <v>44</v>
      </c>
      <c r="D12" t="s">
        <v>232</v>
      </c>
      <c r="E12" t="s">
        <v>233</v>
      </c>
      <c r="F12" t="s">
        <v>254</v>
      </c>
      <c r="G12" t="s">
        <v>224</v>
      </c>
      <c r="H12">
        <v>20</v>
      </c>
      <c r="I12" s="12">
        <f t="shared" si="0"/>
        <v>14.666666666666666</v>
      </c>
    </row>
    <row r="13" spans="1:10">
      <c r="A13">
        <v>38003625</v>
      </c>
      <c r="B13" t="s">
        <v>189</v>
      </c>
      <c r="C13" s="10">
        <v>44</v>
      </c>
      <c r="D13" t="s">
        <v>232</v>
      </c>
      <c r="E13" t="s">
        <v>233</v>
      </c>
      <c r="F13" t="s">
        <v>246</v>
      </c>
      <c r="G13" t="s">
        <v>222</v>
      </c>
      <c r="H13">
        <v>20</v>
      </c>
      <c r="I13" s="12">
        <f t="shared" si="0"/>
        <v>14.666666666666666</v>
      </c>
    </row>
    <row r="14" spans="1:10">
      <c r="A14" s="24"/>
      <c r="B14" t="s">
        <v>348</v>
      </c>
      <c r="C14" s="10">
        <v>44</v>
      </c>
      <c r="D14" t="s">
        <v>232</v>
      </c>
      <c r="E14" t="s">
        <v>233</v>
      </c>
      <c r="F14" t="s">
        <v>362</v>
      </c>
      <c r="G14" t="s">
        <v>363</v>
      </c>
      <c r="H14">
        <v>10</v>
      </c>
      <c r="I14" s="8">
        <f t="shared" si="0"/>
        <v>7.333333333333333</v>
      </c>
      <c r="J14" t="s">
        <v>359</v>
      </c>
    </row>
    <row r="15" spans="1:10">
      <c r="A15">
        <v>38003722</v>
      </c>
      <c r="B15" t="s">
        <v>168</v>
      </c>
      <c r="C15" s="10">
        <v>47</v>
      </c>
      <c r="D15" t="s">
        <v>232</v>
      </c>
      <c r="E15" t="s">
        <v>236</v>
      </c>
      <c r="F15" t="s">
        <v>258</v>
      </c>
      <c r="G15" t="s">
        <v>6</v>
      </c>
      <c r="H15">
        <v>20</v>
      </c>
      <c r="I15" s="12">
        <f t="shared" si="0"/>
        <v>15.666666666666666</v>
      </c>
    </row>
    <row r="16" spans="1:10">
      <c r="A16">
        <v>38003716</v>
      </c>
      <c r="B16" t="s">
        <v>171</v>
      </c>
      <c r="C16" s="10">
        <v>47</v>
      </c>
      <c r="D16" t="s">
        <v>232</v>
      </c>
      <c r="E16" t="s">
        <v>236</v>
      </c>
      <c r="F16" t="s">
        <v>258</v>
      </c>
      <c r="G16" t="s">
        <v>6</v>
      </c>
      <c r="H16">
        <v>20</v>
      </c>
      <c r="I16" s="12">
        <f t="shared" si="0"/>
        <v>15.666666666666666</v>
      </c>
    </row>
    <row r="17" spans="1:9">
      <c r="A17">
        <v>38003731</v>
      </c>
      <c r="B17" t="s">
        <v>173</v>
      </c>
      <c r="C17" s="10">
        <v>47</v>
      </c>
      <c r="D17" t="s">
        <v>232</v>
      </c>
      <c r="E17" t="s">
        <v>236</v>
      </c>
      <c r="F17" t="s">
        <v>257</v>
      </c>
      <c r="G17" t="s">
        <v>6</v>
      </c>
      <c r="H17">
        <v>15</v>
      </c>
      <c r="I17" s="12">
        <f t="shared" si="0"/>
        <v>11.75</v>
      </c>
    </row>
    <row r="18" spans="1:9">
      <c r="A18">
        <v>38004499</v>
      </c>
      <c r="B18" t="s">
        <v>114</v>
      </c>
      <c r="C18" s="10">
        <v>48</v>
      </c>
      <c r="D18" t="s">
        <v>232</v>
      </c>
      <c r="E18" t="s">
        <v>259</v>
      </c>
      <c r="F18" t="s">
        <v>260</v>
      </c>
      <c r="G18" t="s">
        <v>221</v>
      </c>
      <c r="H18">
        <v>5</v>
      </c>
      <c r="I18" s="12">
        <f t="shared" si="0"/>
        <v>4</v>
      </c>
    </row>
    <row r="19" spans="1:9">
      <c r="A19">
        <v>38003810</v>
      </c>
      <c r="B19" t="s">
        <v>25</v>
      </c>
      <c r="C19" s="10">
        <v>57</v>
      </c>
      <c r="D19" t="s">
        <v>232</v>
      </c>
      <c r="E19" t="s">
        <v>233</v>
      </c>
      <c r="F19" t="s">
        <v>266</v>
      </c>
      <c r="G19" t="s">
        <v>224</v>
      </c>
      <c r="H19">
        <v>15</v>
      </c>
      <c r="I19" s="12">
        <f t="shared" si="0"/>
        <v>14.25</v>
      </c>
    </row>
    <row r="20" spans="1:9">
      <c r="A20">
        <v>38003659</v>
      </c>
      <c r="B20" t="s">
        <v>185</v>
      </c>
      <c r="C20" s="10">
        <v>57</v>
      </c>
      <c r="D20" t="s">
        <v>232</v>
      </c>
      <c r="E20" t="s">
        <v>233</v>
      </c>
      <c r="F20" t="s">
        <v>268</v>
      </c>
      <c r="G20" s="4" t="s">
        <v>224</v>
      </c>
      <c r="H20">
        <v>20</v>
      </c>
      <c r="I20" s="12">
        <f t="shared" si="0"/>
        <v>19</v>
      </c>
    </row>
    <row r="21" spans="1:9">
      <c r="A21">
        <v>38004390</v>
      </c>
      <c r="B21" t="s">
        <v>170</v>
      </c>
      <c r="C21" s="10">
        <v>58</v>
      </c>
      <c r="D21" t="s">
        <v>232</v>
      </c>
      <c r="E21" t="s">
        <v>236</v>
      </c>
      <c r="F21" t="s">
        <v>269</v>
      </c>
      <c r="G21" t="s">
        <v>6</v>
      </c>
      <c r="H21">
        <v>30</v>
      </c>
      <c r="I21" s="12">
        <f t="shared" si="0"/>
        <v>29</v>
      </c>
    </row>
    <row r="22" spans="1:9">
      <c r="A22">
        <v>38004487</v>
      </c>
      <c r="B22" t="s">
        <v>175</v>
      </c>
      <c r="C22" s="10">
        <v>58</v>
      </c>
      <c r="D22" t="s">
        <v>232</v>
      </c>
      <c r="E22" t="s">
        <v>236</v>
      </c>
      <c r="F22" t="s">
        <v>269</v>
      </c>
      <c r="G22" t="s">
        <v>6</v>
      </c>
      <c r="H22">
        <v>30</v>
      </c>
      <c r="I22" s="12">
        <f t="shared" si="0"/>
        <v>29</v>
      </c>
    </row>
    <row r="23" spans="1:9">
      <c r="A23">
        <v>38004413</v>
      </c>
      <c r="B23" t="s">
        <v>184</v>
      </c>
      <c r="C23" s="10">
        <v>58</v>
      </c>
      <c r="D23" t="s">
        <v>232</v>
      </c>
      <c r="E23" t="s">
        <v>236</v>
      </c>
      <c r="F23" t="s">
        <v>269</v>
      </c>
      <c r="G23" t="s">
        <v>6</v>
      </c>
      <c r="H23">
        <v>20</v>
      </c>
      <c r="I23" s="12">
        <f t="shared" si="0"/>
        <v>19.333333333333332</v>
      </c>
    </row>
    <row r="24" spans="1:9">
      <c r="A24">
        <v>38003807</v>
      </c>
      <c r="B24" t="s">
        <v>119</v>
      </c>
      <c r="C24" s="10">
        <v>58</v>
      </c>
      <c r="D24" t="s">
        <v>232</v>
      </c>
      <c r="E24" t="s">
        <v>236</v>
      </c>
      <c r="F24" t="s">
        <v>270</v>
      </c>
      <c r="G24" t="s">
        <v>6</v>
      </c>
      <c r="H24">
        <v>20</v>
      </c>
      <c r="I24" s="12">
        <f t="shared" si="0"/>
        <v>19.333333333333332</v>
      </c>
    </row>
    <row r="25" spans="1:9">
      <c r="A25">
        <v>38003638</v>
      </c>
      <c r="B25" t="s">
        <v>187</v>
      </c>
      <c r="C25" s="10">
        <v>68</v>
      </c>
      <c r="D25" t="s">
        <v>232</v>
      </c>
      <c r="E25" t="s">
        <v>233</v>
      </c>
      <c r="F25" t="s">
        <v>272</v>
      </c>
      <c r="G25" t="s">
        <v>222</v>
      </c>
      <c r="H25">
        <v>20</v>
      </c>
      <c r="I25" s="12">
        <f t="shared" si="0"/>
        <v>22.666666666666664</v>
      </c>
    </row>
    <row r="26" spans="1:9">
      <c r="A26">
        <v>38003648</v>
      </c>
      <c r="B26" t="s">
        <v>190</v>
      </c>
      <c r="C26" s="10">
        <v>68</v>
      </c>
      <c r="D26" t="s">
        <v>232</v>
      </c>
      <c r="E26" t="s">
        <v>233</v>
      </c>
      <c r="F26" t="s">
        <v>272</v>
      </c>
      <c r="G26" t="s">
        <v>222</v>
      </c>
      <c r="H26">
        <v>20</v>
      </c>
      <c r="I26" s="12">
        <f t="shared" si="0"/>
        <v>22.666666666666664</v>
      </c>
    </row>
    <row r="27" spans="1:9">
      <c r="A27">
        <v>38004370</v>
      </c>
      <c r="B27" t="s">
        <v>165</v>
      </c>
      <c r="C27" s="10">
        <v>22984</v>
      </c>
      <c r="D27" t="s">
        <v>294</v>
      </c>
      <c r="E27" t="s">
        <v>295</v>
      </c>
      <c r="G27" t="s">
        <v>222</v>
      </c>
      <c r="H27">
        <v>20</v>
      </c>
      <c r="I27" s="12">
        <f t="shared" ref="I27:I38" si="1">(C27/((52*37.5)-217.5-60)/60)*H27</f>
        <v>4.5807673143996013</v>
      </c>
    </row>
    <row r="28" spans="1:9">
      <c r="A28">
        <v>38004512</v>
      </c>
      <c r="B28" t="s">
        <v>97</v>
      </c>
      <c r="C28" s="10">
        <v>22984</v>
      </c>
      <c r="D28" t="s">
        <v>294</v>
      </c>
      <c r="E28" t="s">
        <v>295</v>
      </c>
      <c r="G28" t="s">
        <v>222</v>
      </c>
      <c r="H28">
        <v>20</v>
      </c>
      <c r="I28" s="12">
        <f t="shared" si="1"/>
        <v>4.5807673143996013</v>
      </c>
    </row>
    <row r="29" spans="1:9">
      <c r="A29">
        <v>38004145</v>
      </c>
      <c r="B29" t="s">
        <v>23</v>
      </c>
      <c r="C29" s="10">
        <v>22984</v>
      </c>
      <c r="D29" t="s">
        <v>294</v>
      </c>
      <c r="E29" t="s">
        <v>295</v>
      </c>
      <c r="G29" t="s">
        <v>222</v>
      </c>
      <c r="H29">
        <v>10</v>
      </c>
      <c r="I29" s="12">
        <f t="shared" si="1"/>
        <v>2.2903836571998006</v>
      </c>
    </row>
    <row r="30" spans="1:9">
      <c r="A30">
        <v>38004371</v>
      </c>
      <c r="B30" t="s">
        <v>178</v>
      </c>
      <c r="C30" s="10">
        <v>22984</v>
      </c>
      <c r="D30" t="s">
        <v>294</v>
      </c>
      <c r="E30" t="s">
        <v>295</v>
      </c>
      <c r="G30" t="s">
        <v>222</v>
      </c>
      <c r="H30">
        <v>10</v>
      </c>
      <c r="I30" s="12">
        <f t="shared" si="1"/>
        <v>2.2903836571998006</v>
      </c>
    </row>
    <row r="31" spans="1:9">
      <c r="A31">
        <v>38004445</v>
      </c>
      <c r="B31" t="s">
        <v>181</v>
      </c>
      <c r="C31" s="10">
        <v>27214</v>
      </c>
      <c r="D31" t="s">
        <v>294</v>
      </c>
      <c r="E31" t="s">
        <v>296</v>
      </c>
      <c r="G31" t="s">
        <v>222</v>
      </c>
      <c r="H31">
        <v>20</v>
      </c>
      <c r="I31" s="12">
        <f t="shared" si="1"/>
        <v>5.4238166417538611</v>
      </c>
    </row>
    <row r="32" spans="1:9">
      <c r="A32">
        <v>38004185</v>
      </c>
      <c r="B32" t="s">
        <v>162</v>
      </c>
      <c r="C32" s="10">
        <v>30238</v>
      </c>
      <c r="D32" t="s">
        <v>294</v>
      </c>
      <c r="E32" t="s">
        <v>297</v>
      </c>
      <c r="G32" t="s">
        <v>220</v>
      </c>
      <c r="H32">
        <v>5</v>
      </c>
      <c r="I32" s="12">
        <f t="shared" si="1"/>
        <v>1.5066268061783759</v>
      </c>
    </row>
    <row r="33" spans="1:9">
      <c r="A33">
        <v>38004154</v>
      </c>
      <c r="B33" t="s">
        <v>163</v>
      </c>
      <c r="C33" s="10">
        <v>30238</v>
      </c>
      <c r="D33" t="s">
        <v>294</v>
      </c>
      <c r="E33" t="s">
        <v>297</v>
      </c>
      <c r="G33" t="s">
        <v>220</v>
      </c>
      <c r="H33">
        <v>10</v>
      </c>
      <c r="I33" s="12">
        <f t="shared" si="1"/>
        <v>3.0132536123567517</v>
      </c>
    </row>
    <row r="34" spans="1:9">
      <c r="A34">
        <v>38004169</v>
      </c>
      <c r="B34" t="s">
        <v>172</v>
      </c>
      <c r="C34" s="10">
        <v>30238</v>
      </c>
      <c r="D34" t="s">
        <v>294</v>
      </c>
      <c r="E34" t="s">
        <v>297</v>
      </c>
      <c r="G34" t="s">
        <v>220</v>
      </c>
      <c r="H34">
        <v>5</v>
      </c>
      <c r="I34" s="12">
        <f t="shared" si="1"/>
        <v>1.5066268061783759</v>
      </c>
    </row>
    <row r="35" spans="1:9">
      <c r="A35">
        <v>38003819</v>
      </c>
      <c r="B35" t="s">
        <v>174</v>
      </c>
      <c r="C35" s="10">
        <v>30238</v>
      </c>
      <c r="D35" t="s">
        <v>294</v>
      </c>
      <c r="E35" t="s">
        <v>297</v>
      </c>
      <c r="G35" t="s">
        <v>222</v>
      </c>
      <c r="H35">
        <v>20</v>
      </c>
      <c r="I35" s="12">
        <f t="shared" si="1"/>
        <v>6.0265072247135034</v>
      </c>
    </row>
    <row r="36" spans="1:9">
      <c r="A36">
        <v>38004153</v>
      </c>
      <c r="B36" t="s">
        <v>176</v>
      </c>
      <c r="C36" s="10">
        <v>30238</v>
      </c>
      <c r="D36" t="s">
        <v>294</v>
      </c>
      <c r="E36" t="s">
        <v>297</v>
      </c>
      <c r="G36" t="s">
        <v>220</v>
      </c>
      <c r="H36">
        <v>1</v>
      </c>
      <c r="I36" s="12">
        <f t="shared" si="1"/>
        <v>0.30132536123567516</v>
      </c>
    </row>
    <row r="37" spans="1:9">
      <c r="A37">
        <v>38003781</v>
      </c>
      <c r="B37" t="s">
        <v>164</v>
      </c>
      <c r="C37" s="10">
        <v>62428</v>
      </c>
      <c r="D37" t="s">
        <v>294</v>
      </c>
      <c r="E37" t="s">
        <v>300</v>
      </c>
      <c r="G37" t="s">
        <v>220</v>
      </c>
      <c r="H37">
        <v>10</v>
      </c>
      <c r="I37" s="12">
        <f t="shared" si="1"/>
        <v>6.2210264075734933</v>
      </c>
    </row>
    <row r="38" spans="1:9">
      <c r="A38">
        <v>38003789</v>
      </c>
      <c r="B38" t="s">
        <v>169</v>
      </c>
      <c r="C38" s="10">
        <v>62428</v>
      </c>
      <c r="D38" t="s">
        <v>294</v>
      </c>
      <c r="E38" t="s">
        <v>300</v>
      </c>
      <c r="G38" t="s">
        <v>225</v>
      </c>
      <c r="H38">
        <v>5</v>
      </c>
      <c r="I38" s="12">
        <f t="shared" si="1"/>
        <v>3.1105132037867467</v>
      </c>
    </row>
  </sheetData>
  <autoFilter ref="A1:J38" xr:uid="{5FF83DD6-2606-430A-8325-26C37E2D1AD1}">
    <sortState xmlns:xlrd2="http://schemas.microsoft.com/office/spreadsheetml/2017/richdata2" ref="A2:J38">
      <sortCondition ref="C1:C38"/>
    </sortState>
  </autoFilter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C225-1CDC-45D5-8EC5-388B27B72DED}">
  <sheetPr filterMode="1"/>
  <dimension ref="A1:I180"/>
  <sheetViews>
    <sheetView workbookViewId="0">
      <selection activeCell="G29" sqref="G29:H29"/>
    </sheetView>
  </sheetViews>
  <sheetFormatPr defaultRowHeight="14.4"/>
  <cols>
    <col min="1" max="1" width="48" bestFit="1" customWidth="1"/>
    <col min="2" max="2" width="16.21875" bestFit="1" customWidth="1"/>
    <col min="3" max="3" width="13.44140625" bestFit="1" customWidth="1"/>
    <col min="4" max="4" width="19.44140625" bestFit="1" customWidth="1"/>
    <col min="5" max="5" width="28.44140625" bestFit="1" customWidth="1"/>
    <col min="6" max="6" width="19.5546875" bestFit="1" customWidth="1"/>
    <col min="7" max="7" width="26.77734375" bestFit="1" customWidth="1"/>
    <col min="8" max="8" width="24.88671875" bestFit="1" customWidth="1"/>
    <col min="9" max="9" width="177.21875" bestFit="1" customWidth="1"/>
  </cols>
  <sheetData>
    <row r="1" spans="1:9">
      <c r="A1" s="1" t="s">
        <v>305</v>
      </c>
      <c r="B1" s="14" t="s">
        <v>226</v>
      </c>
      <c r="C1" s="5" t="s">
        <v>227</v>
      </c>
      <c r="D1" s="5" t="s">
        <v>303</v>
      </c>
      <c r="E1" s="5" t="s">
        <v>228</v>
      </c>
      <c r="F1" s="6" t="s">
        <v>1</v>
      </c>
      <c r="G1" s="6" t="s">
        <v>343</v>
      </c>
      <c r="H1" s="26" t="s">
        <v>304</v>
      </c>
      <c r="I1" s="15" t="s">
        <v>0</v>
      </c>
    </row>
    <row r="2" spans="1:9" hidden="1">
      <c r="A2" t="s">
        <v>52</v>
      </c>
      <c r="B2">
        <v>58</v>
      </c>
      <c r="C2" t="s">
        <v>232</v>
      </c>
      <c r="D2" t="s">
        <v>236</v>
      </c>
      <c r="E2" t="s">
        <v>269</v>
      </c>
      <c r="F2" t="s">
        <v>6</v>
      </c>
      <c r="G2">
        <v>20</v>
      </c>
      <c r="H2">
        <v>19.333333333333332</v>
      </c>
      <c r="I2" t="s">
        <v>302</v>
      </c>
    </row>
    <row r="3" spans="1:9" hidden="1">
      <c r="A3" t="s">
        <v>77</v>
      </c>
      <c r="B3">
        <v>30238</v>
      </c>
      <c r="C3" t="s">
        <v>294</v>
      </c>
      <c r="D3" t="s">
        <v>297</v>
      </c>
      <c r="F3" t="s">
        <v>220</v>
      </c>
      <c r="G3">
        <v>5</v>
      </c>
      <c r="H3">
        <v>1.5066268061783759</v>
      </c>
      <c r="I3" t="s">
        <v>310</v>
      </c>
    </row>
    <row r="4" spans="1:9" hidden="1">
      <c r="A4" t="s">
        <v>35</v>
      </c>
      <c r="B4">
        <v>30238</v>
      </c>
      <c r="C4" t="s">
        <v>294</v>
      </c>
      <c r="D4" t="s">
        <v>297</v>
      </c>
      <c r="F4" t="s">
        <v>220</v>
      </c>
      <c r="G4">
        <v>1</v>
      </c>
      <c r="H4">
        <v>0.30132536123567516</v>
      </c>
      <c r="I4" t="s">
        <v>311</v>
      </c>
    </row>
    <row r="5" spans="1:9" hidden="1">
      <c r="A5" t="s">
        <v>76</v>
      </c>
      <c r="B5">
        <v>68</v>
      </c>
      <c r="C5" t="s">
        <v>232</v>
      </c>
      <c r="D5" t="s">
        <v>233</v>
      </c>
      <c r="E5" t="s">
        <v>271</v>
      </c>
      <c r="F5" t="s">
        <v>224</v>
      </c>
      <c r="G5">
        <v>20</v>
      </c>
      <c r="H5">
        <v>22.666666666666664</v>
      </c>
    </row>
    <row r="6" spans="1:9" hidden="1">
      <c r="A6" t="s">
        <v>115</v>
      </c>
      <c r="B6">
        <v>106</v>
      </c>
      <c r="C6" t="s">
        <v>232</v>
      </c>
      <c r="D6" t="s">
        <v>233</v>
      </c>
      <c r="E6" t="s">
        <v>290</v>
      </c>
      <c r="F6" t="s">
        <v>224</v>
      </c>
      <c r="G6">
        <v>15</v>
      </c>
      <c r="H6">
        <v>26.5</v>
      </c>
    </row>
    <row r="7" spans="1:9" hidden="1">
      <c r="A7" t="s">
        <v>80</v>
      </c>
      <c r="B7">
        <v>106</v>
      </c>
      <c r="C7" t="s">
        <v>232</v>
      </c>
      <c r="D7" t="s">
        <v>233</v>
      </c>
      <c r="E7" t="s">
        <v>291</v>
      </c>
      <c r="F7" t="s">
        <v>224</v>
      </c>
      <c r="G7">
        <v>20</v>
      </c>
      <c r="H7">
        <v>35.333333333333329</v>
      </c>
    </row>
    <row r="8" spans="1:9" hidden="1">
      <c r="A8" t="s">
        <v>110</v>
      </c>
      <c r="B8">
        <v>77</v>
      </c>
      <c r="C8" t="s">
        <v>232</v>
      </c>
      <c r="D8" t="s">
        <v>233</v>
      </c>
      <c r="E8" t="s">
        <v>281</v>
      </c>
      <c r="F8" t="s">
        <v>224</v>
      </c>
      <c r="G8">
        <v>15</v>
      </c>
      <c r="H8">
        <v>19.25</v>
      </c>
    </row>
    <row r="9" spans="1:9" hidden="1">
      <c r="A9" t="s">
        <v>69</v>
      </c>
      <c r="B9">
        <v>39</v>
      </c>
      <c r="C9" t="s">
        <v>232</v>
      </c>
      <c r="D9" t="s">
        <v>233</v>
      </c>
      <c r="E9" t="s">
        <v>234</v>
      </c>
      <c r="F9" t="s">
        <v>222</v>
      </c>
      <c r="G9">
        <v>15</v>
      </c>
      <c r="H9">
        <v>9.75</v>
      </c>
    </row>
    <row r="10" spans="1:9" hidden="1">
      <c r="A10" t="s">
        <v>44</v>
      </c>
      <c r="B10">
        <v>39</v>
      </c>
      <c r="C10" t="s">
        <v>232</v>
      </c>
      <c r="D10" t="s">
        <v>233</v>
      </c>
      <c r="E10" t="s">
        <v>235</v>
      </c>
      <c r="F10" t="s">
        <v>222</v>
      </c>
      <c r="G10">
        <v>20</v>
      </c>
      <c r="H10">
        <v>13</v>
      </c>
    </row>
    <row r="11" spans="1:9" hidden="1">
      <c r="A11" t="s">
        <v>319</v>
      </c>
      <c r="B11">
        <v>39</v>
      </c>
      <c r="C11" t="s">
        <v>232</v>
      </c>
      <c r="D11" t="s">
        <v>233</v>
      </c>
      <c r="E11" t="s">
        <v>338</v>
      </c>
      <c r="F11" t="s">
        <v>222</v>
      </c>
      <c r="G11">
        <v>20</v>
      </c>
      <c r="H11">
        <f>(B11/60)*G11</f>
        <v>13</v>
      </c>
      <c r="I11" t="s">
        <v>306</v>
      </c>
    </row>
    <row r="12" spans="1:9" hidden="1">
      <c r="A12" t="s">
        <v>57</v>
      </c>
      <c r="B12">
        <v>39</v>
      </c>
      <c r="C12" t="s">
        <v>232</v>
      </c>
      <c r="D12" t="s">
        <v>236</v>
      </c>
      <c r="E12" t="s">
        <v>237</v>
      </c>
      <c r="F12" t="s">
        <v>222</v>
      </c>
      <c r="G12">
        <v>20</v>
      </c>
      <c r="H12">
        <v>13</v>
      </c>
    </row>
    <row r="13" spans="1:9" hidden="1">
      <c r="A13" t="s">
        <v>29</v>
      </c>
      <c r="B13">
        <v>3.7</v>
      </c>
      <c r="C13" t="s">
        <v>230</v>
      </c>
      <c r="D13" t="s">
        <v>231</v>
      </c>
      <c r="F13" t="s">
        <v>313</v>
      </c>
      <c r="G13">
        <v>15</v>
      </c>
      <c r="H13">
        <v>55.5</v>
      </c>
    </row>
    <row r="14" spans="1:9" hidden="1">
      <c r="A14" t="s">
        <v>31</v>
      </c>
      <c r="B14">
        <v>47</v>
      </c>
      <c r="C14" t="s">
        <v>232</v>
      </c>
      <c r="D14" t="s">
        <v>236</v>
      </c>
      <c r="E14" t="s">
        <v>257</v>
      </c>
      <c r="F14" t="s">
        <v>6</v>
      </c>
      <c r="G14">
        <v>15</v>
      </c>
      <c r="H14">
        <v>11.75</v>
      </c>
    </row>
    <row r="15" spans="1:9" hidden="1">
      <c r="A15" t="s">
        <v>66</v>
      </c>
      <c r="B15">
        <v>3.7</v>
      </c>
      <c r="C15" t="s">
        <v>230</v>
      </c>
      <c r="D15" t="s">
        <v>231</v>
      </c>
      <c r="F15" t="s">
        <v>222</v>
      </c>
      <c r="G15">
        <v>20</v>
      </c>
      <c r="H15">
        <v>74</v>
      </c>
    </row>
    <row r="16" spans="1:9" hidden="1">
      <c r="A16" t="s">
        <v>148</v>
      </c>
      <c r="B16">
        <v>3.7</v>
      </c>
      <c r="C16" t="s">
        <v>230</v>
      </c>
      <c r="D16" t="s">
        <v>231</v>
      </c>
      <c r="F16" t="s">
        <v>314</v>
      </c>
      <c r="G16">
        <v>15</v>
      </c>
      <c r="H16">
        <v>55.5</v>
      </c>
      <c r="I16" t="s">
        <v>302</v>
      </c>
    </row>
    <row r="17" spans="1:9" hidden="1">
      <c r="A17" t="s">
        <v>122</v>
      </c>
      <c r="B17">
        <v>44</v>
      </c>
      <c r="C17" t="s">
        <v>232</v>
      </c>
      <c r="D17" t="s">
        <v>233</v>
      </c>
      <c r="E17" t="s">
        <v>243</v>
      </c>
      <c r="F17" t="s">
        <v>224</v>
      </c>
      <c r="G17">
        <v>20</v>
      </c>
      <c r="H17">
        <v>14.666666666666666</v>
      </c>
    </row>
    <row r="18" spans="1:9" hidden="1">
      <c r="A18" t="s">
        <v>125</v>
      </c>
      <c r="B18">
        <v>62428</v>
      </c>
      <c r="C18" t="s">
        <v>294</v>
      </c>
      <c r="D18" t="s">
        <v>300</v>
      </c>
      <c r="F18" t="s">
        <v>220</v>
      </c>
      <c r="G18">
        <v>1</v>
      </c>
      <c r="H18">
        <v>0.62210264075734933</v>
      </c>
      <c r="I18" t="s">
        <v>311</v>
      </c>
    </row>
    <row r="19" spans="1:9" hidden="1">
      <c r="A19" t="s">
        <v>81</v>
      </c>
      <c r="B19">
        <v>30238</v>
      </c>
      <c r="C19" t="s">
        <v>294</v>
      </c>
      <c r="D19" t="s">
        <v>297</v>
      </c>
      <c r="F19" t="s">
        <v>220</v>
      </c>
      <c r="G19">
        <v>1</v>
      </c>
      <c r="H19">
        <v>0.30132536123567516</v>
      </c>
      <c r="I19" t="s">
        <v>311</v>
      </c>
    </row>
    <row r="20" spans="1:9" hidden="1">
      <c r="A20" t="s">
        <v>144</v>
      </c>
      <c r="B20">
        <v>44</v>
      </c>
      <c r="C20" t="s">
        <v>232</v>
      </c>
      <c r="D20" t="s">
        <v>233</v>
      </c>
      <c r="E20" t="s">
        <v>244</v>
      </c>
      <c r="F20" t="s">
        <v>224</v>
      </c>
      <c r="G20">
        <v>20</v>
      </c>
      <c r="H20">
        <v>14.666666666666666</v>
      </c>
    </row>
    <row r="21" spans="1:9" hidden="1">
      <c r="A21" t="s">
        <v>55</v>
      </c>
      <c r="B21">
        <v>90859</v>
      </c>
      <c r="C21" t="s">
        <v>294</v>
      </c>
      <c r="D21" t="s">
        <v>301</v>
      </c>
      <c r="F21" t="s">
        <v>314</v>
      </c>
      <c r="G21">
        <v>5</v>
      </c>
      <c r="H21">
        <v>4.5271051320378675</v>
      </c>
      <c r="I21" t="s">
        <v>309</v>
      </c>
    </row>
    <row r="22" spans="1:9" hidden="1">
      <c r="A22" t="s">
        <v>99</v>
      </c>
      <c r="B22">
        <v>30238</v>
      </c>
      <c r="C22" t="s">
        <v>294</v>
      </c>
      <c r="D22" t="s">
        <v>297</v>
      </c>
      <c r="F22" t="s">
        <v>220</v>
      </c>
      <c r="G22">
        <v>2</v>
      </c>
      <c r="H22">
        <v>0.60265072247135032</v>
      </c>
      <c r="I22" t="s">
        <v>311</v>
      </c>
    </row>
    <row r="23" spans="1:9" hidden="1">
      <c r="A23" t="s">
        <v>323</v>
      </c>
      <c r="B23">
        <v>22984</v>
      </c>
      <c r="C23" t="s">
        <v>294</v>
      </c>
      <c r="D23" t="s">
        <v>295</v>
      </c>
      <c r="F23" t="s">
        <v>222</v>
      </c>
      <c r="G23">
        <v>10</v>
      </c>
      <c r="H23">
        <v>2.2903836571998006</v>
      </c>
    </row>
    <row r="24" spans="1:9" hidden="1">
      <c r="A24" t="s">
        <v>82</v>
      </c>
      <c r="B24">
        <v>48</v>
      </c>
      <c r="C24" t="s">
        <v>232</v>
      </c>
      <c r="D24" t="s">
        <v>259</v>
      </c>
      <c r="E24" t="s">
        <v>260</v>
      </c>
      <c r="F24" t="s">
        <v>221</v>
      </c>
      <c r="G24">
        <v>5</v>
      </c>
      <c r="H24">
        <v>4</v>
      </c>
      <c r="I24" t="s">
        <v>307</v>
      </c>
    </row>
    <row r="25" spans="1:9" hidden="1">
      <c r="A25" t="s">
        <v>65</v>
      </c>
      <c r="B25">
        <v>44</v>
      </c>
      <c r="C25" t="s">
        <v>232</v>
      </c>
      <c r="D25" t="s">
        <v>233</v>
      </c>
      <c r="E25" t="s">
        <v>245</v>
      </c>
      <c r="F25" t="s">
        <v>224</v>
      </c>
      <c r="G25">
        <v>20</v>
      </c>
      <c r="H25">
        <v>14.666666666666666</v>
      </c>
    </row>
    <row r="26" spans="1:9" hidden="1">
      <c r="A26" t="s">
        <v>131</v>
      </c>
      <c r="B26">
        <v>106</v>
      </c>
      <c r="C26" t="s">
        <v>232</v>
      </c>
      <c r="D26" t="s">
        <v>233</v>
      </c>
      <c r="E26" t="s">
        <v>292</v>
      </c>
      <c r="F26" t="s">
        <v>224</v>
      </c>
      <c r="G26">
        <v>15</v>
      </c>
      <c r="H26">
        <v>26.5</v>
      </c>
    </row>
    <row r="27" spans="1:9" hidden="1">
      <c r="A27" t="s">
        <v>141</v>
      </c>
      <c r="B27">
        <v>77</v>
      </c>
      <c r="C27" t="s">
        <v>232</v>
      </c>
      <c r="D27" t="s">
        <v>233</v>
      </c>
      <c r="E27" t="s">
        <v>282</v>
      </c>
      <c r="F27" t="s">
        <v>224</v>
      </c>
      <c r="G27">
        <v>15</v>
      </c>
      <c r="H27">
        <v>19.25</v>
      </c>
    </row>
    <row r="28" spans="1:9" hidden="1">
      <c r="A28" t="s">
        <v>116</v>
      </c>
      <c r="B28">
        <v>57</v>
      </c>
      <c r="C28" t="s">
        <v>232</v>
      </c>
      <c r="D28" t="s">
        <v>233</v>
      </c>
      <c r="E28" t="s">
        <v>262</v>
      </c>
      <c r="F28" t="s">
        <v>224</v>
      </c>
      <c r="G28">
        <v>15</v>
      </c>
      <c r="H28">
        <v>14.25</v>
      </c>
    </row>
    <row r="29" spans="1:9">
      <c r="A29" t="s">
        <v>8</v>
      </c>
      <c r="B29">
        <v>30238</v>
      </c>
      <c r="C29" t="s">
        <v>294</v>
      </c>
      <c r="D29" t="s">
        <v>297</v>
      </c>
      <c r="F29" t="s">
        <v>220</v>
      </c>
      <c r="G29">
        <v>10</v>
      </c>
      <c r="H29">
        <v>3.0132536123567517</v>
      </c>
      <c r="I29" t="s">
        <v>311</v>
      </c>
    </row>
    <row r="30" spans="1:9" hidden="1">
      <c r="A30" t="s">
        <v>46</v>
      </c>
      <c r="B30">
        <v>30238</v>
      </c>
      <c r="C30" t="s">
        <v>294</v>
      </c>
      <c r="D30" t="s">
        <v>297</v>
      </c>
      <c r="F30" t="s">
        <v>220</v>
      </c>
      <c r="G30">
        <v>1</v>
      </c>
      <c r="H30">
        <v>0.30132536123567516</v>
      </c>
      <c r="I30" t="s">
        <v>311</v>
      </c>
    </row>
    <row r="31" spans="1:9" hidden="1">
      <c r="A31" t="s">
        <v>43</v>
      </c>
      <c r="B31">
        <v>22984</v>
      </c>
      <c r="C31" t="s">
        <v>294</v>
      </c>
      <c r="D31" t="s">
        <v>295</v>
      </c>
      <c r="F31" t="s">
        <v>222</v>
      </c>
      <c r="G31">
        <v>10</v>
      </c>
      <c r="H31">
        <v>2.2903836571998006</v>
      </c>
      <c r="I31" t="s">
        <v>311</v>
      </c>
    </row>
    <row r="32" spans="1:9" hidden="1">
      <c r="A32" t="s">
        <v>28</v>
      </c>
      <c r="B32">
        <v>30238</v>
      </c>
      <c r="C32" t="s">
        <v>294</v>
      </c>
      <c r="D32" t="s">
        <v>297</v>
      </c>
      <c r="F32" t="s">
        <v>220</v>
      </c>
      <c r="G32">
        <v>1</v>
      </c>
      <c r="H32">
        <v>0.30132536123567516</v>
      </c>
      <c r="I32" t="s">
        <v>311</v>
      </c>
    </row>
    <row r="33" spans="1:9" hidden="1">
      <c r="A33" t="s">
        <v>103</v>
      </c>
      <c r="B33">
        <v>62428</v>
      </c>
      <c r="C33" t="s">
        <v>294</v>
      </c>
      <c r="D33" t="s">
        <v>300</v>
      </c>
      <c r="F33" t="s">
        <v>314</v>
      </c>
      <c r="G33">
        <v>5</v>
      </c>
      <c r="H33">
        <v>3.1105132037867467</v>
      </c>
      <c r="I33" t="s">
        <v>312</v>
      </c>
    </row>
    <row r="34" spans="1:9" hidden="1">
      <c r="A34" t="s">
        <v>79</v>
      </c>
      <c r="B34">
        <v>3.7</v>
      </c>
      <c r="C34" t="s">
        <v>230</v>
      </c>
      <c r="D34" t="s">
        <v>231</v>
      </c>
      <c r="F34" t="s">
        <v>314</v>
      </c>
      <c r="G34">
        <v>15</v>
      </c>
      <c r="H34">
        <v>55.5</v>
      </c>
    </row>
    <row r="35" spans="1:9" hidden="1">
      <c r="A35" t="s">
        <v>136</v>
      </c>
      <c r="B35">
        <v>3.7</v>
      </c>
      <c r="C35" t="s">
        <v>230</v>
      </c>
      <c r="D35" t="s">
        <v>231</v>
      </c>
      <c r="F35" t="s">
        <v>314</v>
      </c>
      <c r="G35">
        <v>15</v>
      </c>
      <c r="H35">
        <v>55.5</v>
      </c>
    </row>
    <row r="36" spans="1:9" hidden="1">
      <c r="A36" t="s">
        <v>109</v>
      </c>
      <c r="B36">
        <v>68</v>
      </c>
      <c r="C36" t="s">
        <v>232</v>
      </c>
      <c r="D36" t="s">
        <v>233</v>
      </c>
      <c r="E36" t="s">
        <v>272</v>
      </c>
      <c r="F36" t="s">
        <v>222</v>
      </c>
      <c r="G36">
        <v>20</v>
      </c>
      <c r="H36">
        <v>22.666666666666664</v>
      </c>
    </row>
    <row r="37" spans="1:9" hidden="1">
      <c r="A37" t="s">
        <v>98</v>
      </c>
      <c r="B37">
        <v>62428</v>
      </c>
      <c r="C37" t="s">
        <v>294</v>
      </c>
      <c r="D37" t="s">
        <v>300</v>
      </c>
      <c r="F37" t="s">
        <v>220</v>
      </c>
      <c r="G37">
        <v>15</v>
      </c>
      <c r="H37">
        <v>9.33153961136024</v>
      </c>
      <c r="I37" t="s">
        <v>311</v>
      </c>
    </row>
    <row r="38" spans="1:9" hidden="1">
      <c r="A38" t="s">
        <v>12</v>
      </c>
      <c r="B38">
        <v>30238</v>
      </c>
      <c r="C38" t="s">
        <v>294</v>
      </c>
      <c r="D38" t="s">
        <v>297</v>
      </c>
      <c r="F38" t="s">
        <v>220</v>
      </c>
      <c r="G38">
        <v>10</v>
      </c>
      <c r="H38">
        <v>3.0132536123567517</v>
      </c>
      <c r="I38" t="s">
        <v>311</v>
      </c>
    </row>
    <row r="39" spans="1:9" hidden="1">
      <c r="A39" t="s">
        <v>331</v>
      </c>
      <c r="B39">
        <v>58</v>
      </c>
      <c r="C39" t="s">
        <v>232</v>
      </c>
      <c r="D39" t="s">
        <v>236</v>
      </c>
      <c r="E39" t="s">
        <v>269</v>
      </c>
      <c r="F39" t="s">
        <v>6</v>
      </c>
      <c r="G39">
        <v>20</v>
      </c>
      <c r="H39">
        <v>19.333333333333332</v>
      </c>
    </row>
    <row r="40" spans="1:9" hidden="1">
      <c r="A40" t="s">
        <v>75</v>
      </c>
      <c r="B40">
        <v>58</v>
      </c>
      <c r="C40" t="s">
        <v>232</v>
      </c>
      <c r="D40" t="s">
        <v>236</v>
      </c>
      <c r="E40" t="s">
        <v>269</v>
      </c>
      <c r="F40" t="s">
        <v>6</v>
      </c>
      <c r="G40">
        <v>20</v>
      </c>
      <c r="H40">
        <v>19.333333333333332</v>
      </c>
    </row>
    <row r="41" spans="1:9" hidden="1">
      <c r="A41" t="s">
        <v>13</v>
      </c>
      <c r="B41">
        <v>47</v>
      </c>
      <c r="C41" t="s">
        <v>232</v>
      </c>
      <c r="D41" t="s">
        <v>236</v>
      </c>
      <c r="E41" t="s">
        <v>258</v>
      </c>
      <c r="F41" t="s">
        <v>6</v>
      </c>
      <c r="G41">
        <v>20</v>
      </c>
      <c r="H41">
        <v>15.666666666666666</v>
      </c>
    </row>
    <row r="42" spans="1:9" hidden="1">
      <c r="A42" t="s">
        <v>5</v>
      </c>
      <c r="B42">
        <v>3.7</v>
      </c>
      <c r="C42" t="s">
        <v>230</v>
      </c>
      <c r="D42" t="s">
        <v>231</v>
      </c>
      <c r="F42" t="s">
        <v>222</v>
      </c>
      <c r="G42">
        <v>15</v>
      </c>
      <c r="H42">
        <v>55.5</v>
      </c>
      <c r="I42" t="s">
        <v>307</v>
      </c>
    </row>
    <row r="43" spans="1:9" hidden="1">
      <c r="A43" t="s">
        <v>104</v>
      </c>
      <c r="B43">
        <v>62428</v>
      </c>
      <c r="C43" t="s">
        <v>294</v>
      </c>
      <c r="D43" t="s">
        <v>300</v>
      </c>
      <c r="F43" t="s">
        <v>220</v>
      </c>
      <c r="G43">
        <v>15</v>
      </c>
      <c r="H43">
        <v>9.33153961136024</v>
      </c>
      <c r="I43" t="s">
        <v>311</v>
      </c>
    </row>
    <row r="44" spans="1:9" hidden="1">
      <c r="A44" t="s">
        <v>316</v>
      </c>
      <c r="B44">
        <v>30</v>
      </c>
      <c r="C44" t="s">
        <v>232</v>
      </c>
      <c r="D44" t="s">
        <v>337</v>
      </c>
      <c r="F44" t="s">
        <v>222</v>
      </c>
      <c r="G44">
        <v>15</v>
      </c>
      <c r="H44" s="17">
        <v>7.5</v>
      </c>
      <c r="I44" t="s">
        <v>307</v>
      </c>
    </row>
    <row r="45" spans="1:9" hidden="1">
      <c r="A45" t="s">
        <v>335</v>
      </c>
      <c r="B45">
        <v>30238</v>
      </c>
      <c r="C45" t="s">
        <v>294</v>
      </c>
      <c r="D45" t="s">
        <v>297</v>
      </c>
      <c r="F45" t="s">
        <v>220</v>
      </c>
      <c r="G45">
        <v>1</v>
      </c>
      <c r="H45">
        <v>0.30132536123567516</v>
      </c>
      <c r="I45" t="s">
        <v>311</v>
      </c>
    </row>
    <row r="46" spans="1:9" hidden="1">
      <c r="A46" t="s">
        <v>26</v>
      </c>
      <c r="B46">
        <v>3.7</v>
      </c>
      <c r="C46" t="s">
        <v>230</v>
      </c>
      <c r="D46" t="s">
        <v>231</v>
      </c>
      <c r="F46" t="s">
        <v>314</v>
      </c>
      <c r="G46">
        <v>15</v>
      </c>
      <c r="H46">
        <v>55.5</v>
      </c>
      <c r="I46" t="s">
        <v>302</v>
      </c>
    </row>
    <row r="47" spans="1:9" hidden="1">
      <c r="A47" t="s">
        <v>59</v>
      </c>
      <c r="B47">
        <v>44</v>
      </c>
      <c r="C47" t="s">
        <v>232</v>
      </c>
      <c r="D47" t="s">
        <v>233</v>
      </c>
      <c r="E47" t="s">
        <v>246</v>
      </c>
      <c r="F47" t="s">
        <v>222</v>
      </c>
      <c r="G47">
        <v>20</v>
      </c>
      <c r="H47">
        <v>14.666666666666666</v>
      </c>
    </row>
    <row r="48" spans="1:9" hidden="1">
      <c r="A48" t="s">
        <v>328</v>
      </c>
      <c r="B48">
        <v>62428</v>
      </c>
      <c r="C48" t="s">
        <v>294</v>
      </c>
      <c r="D48" t="s">
        <v>300</v>
      </c>
      <c r="F48" t="s">
        <v>222</v>
      </c>
      <c r="G48">
        <v>10</v>
      </c>
      <c r="H48">
        <v>6.2210264075734933</v>
      </c>
    </row>
    <row r="49" spans="1:9" hidden="1">
      <c r="A49" t="s">
        <v>74</v>
      </c>
      <c r="B49">
        <v>3.7</v>
      </c>
      <c r="C49" t="s">
        <v>230</v>
      </c>
      <c r="D49" t="s">
        <v>231</v>
      </c>
      <c r="F49" t="s">
        <v>314</v>
      </c>
      <c r="G49">
        <v>15</v>
      </c>
      <c r="H49">
        <v>55.5</v>
      </c>
    </row>
    <row r="50" spans="1:9" hidden="1">
      <c r="A50" t="s">
        <v>14</v>
      </c>
      <c r="B50">
        <v>30238</v>
      </c>
      <c r="C50" t="s">
        <v>294</v>
      </c>
      <c r="D50" t="s">
        <v>297</v>
      </c>
      <c r="F50" t="s">
        <v>220</v>
      </c>
      <c r="G50">
        <v>1</v>
      </c>
      <c r="H50">
        <v>0.30132536123567516</v>
      </c>
      <c r="I50" t="s">
        <v>311</v>
      </c>
    </row>
    <row r="51" spans="1:9" hidden="1">
      <c r="A51" t="s">
        <v>41</v>
      </c>
      <c r="B51">
        <v>30238</v>
      </c>
      <c r="C51" t="s">
        <v>294</v>
      </c>
      <c r="D51" t="s">
        <v>297</v>
      </c>
      <c r="F51" t="s">
        <v>220</v>
      </c>
      <c r="G51">
        <v>1</v>
      </c>
      <c r="H51">
        <v>0.30132536123567516</v>
      </c>
      <c r="I51" t="s">
        <v>311</v>
      </c>
    </row>
    <row r="52" spans="1:9" hidden="1">
      <c r="A52" t="s">
        <v>73</v>
      </c>
      <c r="B52">
        <v>44</v>
      </c>
      <c r="C52" t="s">
        <v>232</v>
      </c>
      <c r="D52" t="s">
        <v>233</v>
      </c>
      <c r="E52" t="s">
        <v>247</v>
      </c>
      <c r="F52" t="s">
        <v>224</v>
      </c>
      <c r="G52">
        <v>20</v>
      </c>
      <c r="H52">
        <v>14.666666666666666</v>
      </c>
    </row>
    <row r="53" spans="1:9" hidden="1">
      <c r="A53" t="s">
        <v>139</v>
      </c>
      <c r="B53">
        <v>68</v>
      </c>
      <c r="C53" t="s">
        <v>232</v>
      </c>
      <c r="D53" t="s">
        <v>233</v>
      </c>
      <c r="E53" t="s">
        <v>273</v>
      </c>
      <c r="F53" t="s">
        <v>224</v>
      </c>
      <c r="G53">
        <v>15</v>
      </c>
      <c r="H53">
        <v>17</v>
      </c>
    </row>
    <row r="54" spans="1:9" hidden="1">
      <c r="A54" t="s">
        <v>151</v>
      </c>
      <c r="B54">
        <v>77</v>
      </c>
      <c r="C54" t="s">
        <v>232</v>
      </c>
      <c r="D54" t="s">
        <v>233</v>
      </c>
      <c r="E54" t="s">
        <v>283</v>
      </c>
      <c r="F54" t="s">
        <v>224</v>
      </c>
      <c r="G54">
        <v>15</v>
      </c>
      <c r="H54">
        <v>19.25</v>
      </c>
    </row>
    <row r="55" spans="1:9" hidden="1">
      <c r="A55" t="s">
        <v>137</v>
      </c>
      <c r="B55">
        <v>57</v>
      </c>
      <c r="C55" t="s">
        <v>232</v>
      </c>
      <c r="D55" t="s">
        <v>233</v>
      </c>
      <c r="E55" t="s">
        <v>263</v>
      </c>
      <c r="F55" t="s">
        <v>224</v>
      </c>
      <c r="G55">
        <v>15</v>
      </c>
      <c r="H55">
        <v>14.25</v>
      </c>
    </row>
    <row r="56" spans="1:9" hidden="1">
      <c r="A56" t="s">
        <v>124</v>
      </c>
      <c r="B56">
        <v>90859</v>
      </c>
      <c r="C56" t="s">
        <v>294</v>
      </c>
      <c r="D56" t="s">
        <v>301</v>
      </c>
      <c r="F56" t="s">
        <v>6</v>
      </c>
      <c r="G56">
        <v>15</v>
      </c>
      <c r="H56">
        <v>13.581315396113602</v>
      </c>
      <c r="I56" t="s">
        <v>311</v>
      </c>
    </row>
    <row r="57" spans="1:9" hidden="1">
      <c r="A57" t="s">
        <v>333</v>
      </c>
      <c r="B57">
        <v>90859</v>
      </c>
      <c r="C57" t="s">
        <v>294</v>
      </c>
      <c r="D57" t="s">
        <v>301</v>
      </c>
      <c r="F57" t="s">
        <v>220</v>
      </c>
      <c r="G57">
        <v>15</v>
      </c>
      <c r="H57">
        <v>13.581315396113602</v>
      </c>
      <c r="I57" t="s">
        <v>311</v>
      </c>
    </row>
    <row r="58" spans="1:9" hidden="1">
      <c r="A58" t="s">
        <v>22</v>
      </c>
      <c r="B58">
        <v>30238</v>
      </c>
      <c r="C58" t="s">
        <v>294</v>
      </c>
      <c r="D58" t="s">
        <v>297</v>
      </c>
      <c r="F58" t="s">
        <v>222</v>
      </c>
      <c r="G58">
        <v>20</v>
      </c>
      <c r="H58">
        <v>6.0265072247135034</v>
      </c>
      <c r="I58" t="s">
        <v>311</v>
      </c>
    </row>
    <row r="59" spans="1:9" hidden="1">
      <c r="A59" t="s">
        <v>33</v>
      </c>
      <c r="B59">
        <v>39</v>
      </c>
      <c r="C59" t="s">
        <v>232</v>
      </c>
      <c r="D59" t="s">
        <v>236</v>
      </c>
      <c r="E59" t="s">
        <v>238</v>
      </c>
      <c r="F59" t="s">
        <v>6</v>
      </c>
      <c r="G59">
        <v>20</v>
      </c>
      <c r="H59">
        <v>13</v>
      </c>
    </row>
    <row r="60" spans="1:9" hidden="1">
      <c r="A60" t="s">
        <v>87</v>
      </c>
      <c r="B60">
        <v>90859</v>
      </c>
      <c r="C60" t="s">
        <v>294</v>
      </c>
      <c r="D60" t="s">
        <v>301</v>
      </c>
      <c r="F60" t="s">
        <v>220</v>
      </c>
      <c r="G60">
        <v>1</v>
      </c>
      <c r="H60">
        <v>0.90542102640757349</v>
      </c>
      <c r="I60" t="s">
        <v>311</v>
      </c>
    </row>
    <row r="61" spans="1:9" hidden="1">
      <c r="A61" t="s">
        <v>133</v>
      </c>
      <c r="B61">
        <v>68</v>
      </c>
      <c r="C61" t="s">
        <v>232</v>
      </c>
      <c r="D61" t="s">
        <v>233</v>
      </c>
      <c r="E61" t="s">
        <v>274</v>
      </c>
      <c r="F61" t="s">
        <v>222</v>
      </c>
      <c r="G61">
        <v>15</v>
      </c>
      <c r="H61">
        <v>17</v>
      </c>
      <c r="I61" t="s">
        <v>302</v>
      </c>
    </row>
    <row r="62" spans="1:9" hidden="1">
      <c r="A62" t="s">
        <v>2</v>
      </c>
      <c r="B62">
        <v>3.7</v>
      </c>
      <c r="C62" t="s">
        <v>230</v>
      </c>
      <c r="D62" t="s">
        <v>231</v>
      </c>
      <c r="F62" t="s">
        <v>313</v>
      </c>
      <c r="G62">
        <v>15</v>
      </c>
      <c r="H62">
        <v>55.5</v>
      </c>
    </row>
    <row r="63" spans="1:9" hidden="1">
      <c r="A63" t="s">
        <v>20</v>
      </c>
      <c r="B63">
        <v>3.7</v>
      </c>
      <c r="C63" t="s">
        <v>230</v>
      </c>
      <c r="D63" t="s">
        <v>231</v>
      </c>
      <c r="F63" t="s">
        <v>313</v>
      </c>
      <c r="G63">
        <v>15</v>
      </c>
      <c r="H63">
        <v>55.5</v>
      </c>
    </row>
    <row r="64" spans="1:9" hidden="1">
      <c r="A64" t="s">
        <v>7</v>
      </c>
      <c r="B64">
        <v>22984</v>
      </c>
      <c r="C64" t="s">
        <v>294</v>
      </c>
      <c r="D64" t="s">
        <v>295</v>
      </c>
      <c r="F64" t="s">
        <v>222</v>
      </c>
      <c r="G64">
        <v>20</v>
      </c>
      <c r="H64">
        <v>4.5807673143996013</v>
      </c>
      <c r="I64" t="s">
        <v>311</v>
      </c>
    </row>
    <row r="65" spans="1:9" hidden="1">
      <c r="A65" t="s">
        <v>48</v>
      </c>
      <c r="B65">
        <v>30238</v>
      </c>
      <c r="C65" t="s">
        <v>294</v>
      </c>
      <c r="D65" t="s">
        <v>297</v>
      </c>
      <c r="F65" t="s">
        <v>220</v>
      </c>
      <c r="G65">
        <v>10</v>
      </c>
      <c r="H65">
        <v>3.0132536123567517</v>
      </c>
      <c r="I65" t="s">
        <v>311</v>
      </c>
    </row>
    <row r="66" spans="1:9" hidden="1">
      <c r="A66" t="s">
        <v>50</v>
      </c>
      <c r="B66">
        <v>30238</v>
      </c>
      <c r="C66" t="s">
        <v>294</v>
      </c>
      <c r="D66" t="s">
        <v>297</v>
      </c>
      <c r="F66" t="s">
        <v>220</v>
      </c>
      <c r="G66">
        <v>10</v>
      </c>
      <c r="H66">
        <v>3.0132536123567517</v>
      </c>
      <c r="I66" t="s">
        <v>311</v>
      </c>
    </row>
    <row r="67" spans="1:9" hidden="1">
      <c r="A67" t="s">
        <v>10</v>
      </c>
      <c r="B67">
        <v>22984</v>
      </c>
      <c r="C67" t="s">
        <v>294</v>
      </c>
      <c r="D67" t="s">
        <v>295</v>
      </c>
      <c r="F67" t="s">
        <v>222</v>
      </c>
      <c r="G67">
        <v>10</v>
      </c>
      <c r="H67">
        <v>2.2903836571998006</v>
      </c>
      <c r="I67" t="s">
        <v>311</v>
      </c>
    </row>
    <row r="68" spans="1:9" hidden="1">
      <c r="A68" t="s">
        <v>134</v>
      </c>
      <c r="B68">
        <v>27214</v>
      </c>
      <c r="C68" t="s">
        <v>294</v>
      </c>
      <c r="D68" t="s">
        <v>296</v>
      </c>
      <c r="F68" t="s">
        <v>222</v>
      </c>
      <c r="G68">
        <v>15</v>
      </c>
      <c r="H68">
        <v>4.0678624813153963</v>
      </c>
      <c r="I68" t="s">
        <v>311</v>
      </c>
    </row>
    <row r="69" spans="1:9" hidden="1">
      <c r="A69" t="s">
        <v>152</v>
      </c>
      <c r="B69">
        <v>36000</v>
      </c>
      <c r="C69" t="s">
        <v>294</v>
      </c>
      <c r="D69" t="s">
        <v>299</v>
      </c>
      <c r="F69" t="s">
        <v>222</v>
      </c>
      <c r="G69">
        <v>5</v>
      </c>
      <c r="H69">
        <v>1.7937219730941707</v>
      </c>
      <c r="I69" t="s">
        <v>311</v>
      </c>
    </row>
    <row r="70" spans="1:9" hidden="1">
      <c r="A70" t="s">
        <v>118</v>
      </c>
      <c r="B70">
        <v>44</v>
      </c>
      <c r="C70" t="s">
        <v>232</v>
      </c>
      <c r="D70" t="s">
        <v>233</v>
      </c>
      <c r="E70" t="s">
        <v>248</v>
      </c>
      <c r="F70" t="s">
        <v>222</v>
      </c>
      <c r="G70">
        <v>10</v>
      </c>
      <c r="H70">
        <v>7.333333333333333</v>
      </c>
    </row>
    <row r="71" spans="1:9" hidden="1">
      <c r="A71" t="s">
        <v>38</v>
      </c>
      <c r="B71">
        <v>30238</v>
      </c>
      <c r="C71" t="s">
        <v>294</v>
      </c>
      <c r="D71" t="s">
        <v>297</v>
      </c>
      <c r="F71" t="s">
        <v>220</v>
      </c>
      <c r="G71">
        <v>1</v>
      </c>
      <c r="H71">
        <v>0.30132536123567516</v>
      </c>
      <c r="I71" t="s">
        <v>311</v>
      </c>
    </row>
    <row r="72" spans="1:9" hidden="1">
      <c r="A72" t="s">
        <v>53</v>
      </c>
      <c r="B72">
        <v>30238</v>
      </c>
      <c r="C72" t="s">
        <v>294</v>
      </c>
      <c r="D72" t="s">
        <v>297</v>
      </c>
      <c r="F72" t="s">
        <v>220</v>
      </c>
      <c r="G72">
        <v>1</v>
      </c>
      <c r="H72">
        <v>0.30132536123567516</v>
      </c>
      <c r="I72" t="s">
        <v>311</v>
      </c>
    </row>
    <row r="73" spans="1:9" hidden="1">
      <c r="A73" t="s">
        <v>51</v>
      </c>
      <c r="B73">
        <v>30238</v>
      </c>
      <c r="C73" t="s">
        <v>294</v>
      </c>
      <c r="D73" t="s">
        <v>297</v>
      </c>
      <c r="F73" t="s">
        <v>222</v>
      </c>
      <c r="G73">
        <v>10</v>
      </c>
      <c r="H73">
        <v>3.0132536123567517</v>
      </c>
      <c r="I73" t="s">
        <v>311</v>
      </c>
    </row>
    <row r="74" spans="1:9" hidden="1">
      <c r="A74" t="s">
        <v>86</v>
      </c>
      <c r="B74">
        <v>3.7</v>
      </c>
      <c r="C74" t="s">
        <v>230</v>
      </c>
      <c r="D74" t="s">
        <v>231</v>
      </c>
      <c r="F74" t="s">
        <v>314</v>
      </c>
      <c r="G74">
        <v>15</v>
      </c>
      <c r="H74">
        <v>55.5</v>
      </c>
      <c r="I74" t="s">
        <v>302</v>
      </c>
    </row>
    <row r="75" spans="1:9" hidden="1">
      <c r="A75" t="s">
        <v>71</v>
      </c>
      <c r="B75">
        <v>3.7</v>
      </c>
      <c r="C75" t="s">
        <v>230</v>
      </c>
      <c r="D75" t="s">
        <v>231</v>
      </c>
      <c r="F75" t="s">
        <v>314</v>
      </c>
      <c r="G75">
        <v>15</v>
      </c>
      <c r="H75">
        <v>55.5</v>
      </c>
    </row>
    <row r="76" spans="1:9" hidden="1">
      <c r="A76" t="s">
        <v>112</v>
      </c>
      <c r="B76">
        <v>3.7</v>
      </c>
      <c r="C76" t="s">
        <v>230</v>
      </c>
      <c r="D76" t="s">
        <v>231</v>
      </c>
      <c r="F76" t="s">
        <v>314</v>
      </c>
      <c r="G76">
        <v>15</v>
      </c>
      <c r="H76">
        <v>55.5</v>
      </c>
    </row>
    <row r="77" spans="1:9" hidden="1">
      <c r="A77" t="s">
        <v>56</v>
      </c>
      <c r="B77">
        <v>30238</v>
      </c>
      <c r="C77" t="s">
        <v>294</v>
      </c>
      <c r="D77" t="s">
        <v>297</v>
      </c>
      <c r="F77" t="s">
        <v>220</v>
      </c>
      <c r="G77">
        <v>1</v>
      </c>
      <c r="H77">
        <v>0.30132536123567516</v>
      </c>
      <c r="I77" t="s">
        <v>311</v>
      </c>
    </row>
    <row r="78" spans="1:9" hidden="1">
      <c r="A78" t="s">
        <v>88</v>
      </c>
      <c r="B78">
        <v>68</v>
      </c>
      <c r="C78" t="s">
        <v>232</v>
      </c>
      <c r="D78" t="s">
        <v>233</v>
      </c>
      <c r="E78" t="s">
        <v>275</v>
      </c>
      <c r="F78" t="s">
        <v>224</v>
      </c>
      <c r="G78">
        <v>15</v>
      </c>
      <c r="H78">
        <v>17</v>
      </c>
      <c r="I78" t="s">
        <v>302</v>
      </c>
    </row>
    <row r="79" spans="1:9" hidden="1">
      <c r="A79" t="s">
        <v>24</v>
      </c>
      <c r="B79">
        <v>3.7</v>
      </c>
      <c r="C79" t="s">
        <v>230</v>
      </c>
      <c r="D79" t="s">
        <v>231</v>
      </c>
      <c r="F79" t="s">
        <v>313</v>
      </c>
      <c r="G79">
        <v>15</v>
      </c>
      <c r="H79">
        <v>55.5</v>
      </c>
    </row>
    <row r="80" spans="1:9" hidden="1">
      <c r="A80" t="s">
        <v>4</v>
      </c>
      <c r="B80">
        <v>62428</v>
      </c>
      <c r="C80" t="s">
        <v>294</v>
      </c>
      <c r="D80" t="s">
        <v>300</v>
      </c>
      <c r="F80" t="s">
        <v>220</v>
      </c>
      <c r="G80">
        <v>10</v>
      </c>
      <c r="H80">
        <v>6.2210264075734933</v>
      </c>
      <c r="I80" t="s">
        <v>311</v>
      </c>
    </row>
    <row r="81" spans="1:9" hidden="1">
      <c r="A81" t="s">
        <v>155</v>
      </c>
      <c r="B81">
        <v>3.7</v>
      </c>
      <c r="C81" t="s">
        <v>230</v>
      </c>
      <c r="D81" t="s">
        <v>231</v>
      </c>
      <c r="F81" t="s">
        <v>314</v>
      </c>
      <c r="G81">
        <v>15</v>
      </c>
      <c r="H81">
        <v>55.5</v>
      </c>
    </row>
    <row r="82" spans="1:9" hidden="1">
      <c r="A82" t="s">
        <v>39</v>
      </c>
      <c r="B82">
        <v>30238</v>
      </c>
      <c r="C82" t="s">
        <v>294</v>
      </c>
      <c r="D82" t="s">
        <v>297</v>
      </c>
      <c r="F82" t="s">
        <v>220</v>
      </c>
      <c r="G82">
        <v>1</v>
      </c>
      <c r="H82">
        <v>0.30132536123567516</v>
      </c>
      <c r="I82" t="s">
        <v>311</v>
      </c>
    </row>
    <row r="83" spans="1:9" hidden="1">
      <c r="A83" t="s">
        <v>64</v>
      </c>
      <c r="B83">
        <v>30238</v>
      </c>
      <c r="C83" t="s">
        <v>294</v>
      </c>
      <c r="D83" t="s">
        <v>297</v>
      </c>
      <c r="F83" t="s">
        <v>220</v>
      </c>
      <c r="G83">
        <v>1</v>
      </c>
      <c r="H83">
        <v>0.30132536123567516</v>
      </c>
      <c r="I83" t="s">
        <v>311</v>
      </c>
    </row>
    <row r="84" spans="1:9" hidden="1">
      <c r="A84" t="s">
        <v>18</v>
      </c>
      <c r="B84">
        <v>30238</v>
      </c>
      <c r="C84" t="s">
        <v>294</v>
      </c>
      <c r="D84" t="s">
        <v>297</v>
      </c>
      <c r="F84" t="s">
        <v>220</v>
      </c>
      <c r="G84">
        <v>10</v>
      </c>
      <c r="H84">
        <v>3.0132536123567517</v>
      </c>
      <c r="I84" t="s">
        <v>311</v>
      </c>
    </row>
    <row r="85" spans="1:9" hidden="1">
      <c r="A85" t="s">
        <v>58</v>
      </c>
      <c r="B85">
        <v>27214</v>
      </c>
      <c r="C85" t="s">
        <v>294</v>
      </c>
      <c r="D85" t="s">
        <v>296</v>
      </c>
      <c r="F85" t="s">
        <v>314</v>
      </c>
      <c r="G85">
        <v>20</v>
      </c>
      <c r="H85">
        <v>5.4238166417538611</v>
      </c>
      <c r="I85" t="s">
        <v>311</v>
      </c>
    </row>
    <row r="86" spans="1:9" hidden="1">
      <c r="A86" t="s">
        <v>90</v>
      </c>
      <c r="B86">
        <v>44</v>
      </c>
      <c r="C86" t="s">
        <v>232</v>
      </c>
      <c r="D86" t="s">
        <v>233</v>
      </c>
      <c r="E86" t="s">
        <v>249</v>
      </c>
      <c r="F86" t="s">
        <v>222</v>
      </c>
      <c r="G86">
        <v>20</v>
      </c>
      <c r="H86">
        <v>14.666666666666666</v>
      </c>
    </row>
    <row r="87" spans="1:9" hidden="1">
      <c r="A87" t="s">
        <v>40</v>
      </c>
      <c r="B87">
        <v>39</v>
      </c>
      <c r="C87" t="s">
        <v>232</v>
      </c>
      <c r="D87" t="s">
        <v>233</v>
      </c>
      <c r="E87" t="s">
        <v>239</v>
      </c>
      <c r="F87" t="s">
        <v>222</v>
      </c>
      <c r="G87">
        <v>20</v>
      </c>
      <c r="H87">
        <v>13</v>
      </c>
    </row>
    <row r="88" spans="1:9" hidden="1">
      <c r="A88" t="s">
        <v>321</v>
      </c>
      <c r="B88">
        <v>30238</v>
      </c>
      <c r="C88" t="s">
        <v>294</v>
      </c>
      <c r="D88" t="s">
        <v>297</v>
      </c>
      <c r="F88" t="s">
        <v>220</v>
      </c>
      <c r="G88">
        <v>1</v>
      </c>
      <c r="H88">
        <v>0.30132536123567516</v>
      </c>
    </row>
    <row r="89" spans="1:9" hidden="1">
      <c r="A89" t="s">
        <v>119</v>
      </c>
      <c r="B89">
        <v>58</v>
      </c>
      <c r="C89" t="s">
        <v>232</v>
      </c>
      <c r="D89" t="s">
        <v>236</v>
      </c>
      <c r="E89" t="s">
        <v>270</v>
      </c>
      <c r="F89" t="s">
        <v>6</v>
      </c>
      <c r="G89">
        <v>20</v>
      </c>
      <c r="H89">
        <v>19.333333333333332</v>
      </c>
    </row>
    <row r="90" spans="1:9" hidden="1">
      <c r="A90" t="s">
        <v>322</v>
      </c>
      <c r="B90">
        <v>105</v>
      </c>
      <c r="C90" t="s">
        <v>232</v>
      </c>
      <c r="D90" t="s">
        <v>236</v>
      </c>
      <c r="E90" t="s">
        <v>289</v>
      </c>
      <c r="F90" t="s">
        <v>6</v>
      </c>
      <c r="G90">
        <v>20</v>
      </c>
      <c r="H90" s="16">
        <f>(B90/60)*G90</f>
        <v>35</v>
      </c>
      <c r="I90" t="s">
        <v>307</v>
      </c>
    </row>
    <row r="91" spans="1:9" hidden="1">
      <c r="A91" t="s">
        <v>332</v>
      </c>
      <c r="B91">
        <v>69</v>
      </c>
      <c r="C91" t="s">
        <v>232</v>
      </c>
      <c r="D91" t="s">
        <v>236</v>
      </c>
      <c r="E91" t="s">
        <v>280</v>
      </c>
      <c r="F91" t="s">
        <v>6</v>
      </c>
      <c r="G91">
        <v>20</v>
      </c>
      <c r="H91" s="16">
        <f>(B91/60)*G91</f>
        <v>23</v>
      </c>
      <c r="I91" t="s">
        <v>307</v>
      </c>
    </row>
    <row r="92" spans="1:9" hidden="1">
      <c r="A92" t="s">
        <v>153</v>
      </c>
      <c r="B92">
        <v>58</v>
      </c>
      <c r="C92" t="s">
        <v>232</v>
      </c>
      <c r="D92" t="s">
        <v>236</v>
      </c>
      <c r="E92" t="s">
        <v>269</v>
      </c>
      <c r="F92" t="s">
        <v>6</v>
      </c>
      <c r="G92">
        <v>20</v>
      </c>
      <c r="H92">
        <v>19.333333333333332</v>
      </c>
      <c r="I92" t="s">
        <v>307</v>
      </c>
    </row>
    <row r="93" spans="1:9" hidden="1">
      <c r="A93" t="s">
        <v>325</v>
      </c>
      <c r="B93">
        <v>69</v>
      </c>
      <c r="C93" t="s">
        <v>232</v>
      </c>
      <c r="D93" t="s">
        <v>236</v>
      </c>
      <c r="E93" t="s">
        <v>280</v>
      </c>
      <c r="F93" t="s">
        <v>6</v>
      </c>
      <c r="G93">
        <v>20</v>
      </c>
      <c r="H93" s="16">
        <f>(B93/60)*G93</f>
        <v>23</v>
      </c>
      <c r="I93" t="s">
        <v>307</v>
      </c>
    </row>
    <row r="94" spans="1:9" hidden="1">
      <c r="A94" t="s">
        <v>70</v>
      </c>
      <c r="B94">
        <v>77</v>
      </c>
      <c r="C94" t="s">
        <v>232</v>
      </c>
      <c r="D94" t="s">
        <v>236</v>
      </c>
      <c r="E94" t="s">
        <v>284</v>
      </c>
      <c r="F94" t="s">
        <v>6</v>
      </c>
      <c r="G94">
        <v>15</v>
      </c>
      <c r="H94">
        <v>19.25</v>
      </c>
    </row>
    <row r="95" spans="1:9" hidden="1">
      <c r="A95" t="s">
        <v>127</v>
      </c>
      <c r="B95">
        <v>68</v>
      </c>
      <c r="C95" t="s">
        <v>232</v>
      </c>
      <c r="D95" t="s">
        <v>233</v>
      </c>
      <c r="E95" t="s">
        <v>276</v>
      </c>
      <c r="F95" t="s">
        <v>224</v>
      </c>
      <c r="G95">
        <v>20</v>
      </c>
      <c r="H95">
        <v>22.666666666666664</v>
      </c>
      <c r="I95" t="s">
        <v>302</v>
      </c>
    </row>
    <row r="96" spans="1:9" hidden="1">
      <c r="A96" t="s">
        <v>156</v>
      </c>
      <c r="B96">
        <v>77</v>
      </c>
      <c r="C96" t="s">
        <v>232</v>
      </c>
      <c r="D96" t="s">
        <v>233</v>
      </c>
      <c r="E96" t="s">
        <v>285</v>
      </c>
      <c r="F96" t="s">
        <v>224</v>
      </c>
      <c r="G96">
        <v>15</v>
      </c>
      <c r="H96">
        <v>19.25</v>
      </c>
      <c r="I96" t="s">
        <v>302</v>
      </c>
    </row>
    <row r="97" spans="1:9" hidden="1">
      <c r="A97" t="s">
        <v>45</v>
      </c>
      <c r="B97">
        <v>30238</v>
      </c>
      <c r="C97" t="s">
        <v>294</v>
      </c>
      <c r="D97" t="s">
        <v>297</v>
      </c>
      <c r="F97" t="s">
        <v>220</v>
      </c>
      <c r="G97">
        <v>1</v>
      </c>
      <c r="H97">
        <v>0.30132536123567516</v>
      </c>
      <c r="I97" t="s">
        <v>311</v>
      </c>
    </row>
    <row r="98" spans="1:9" hidden="1">
      <c r="A98" t="s">
        <v>60</v>
      </c>
      <c r="B98">
        <v>30238</v>
      </c>
      <c r="C98" t="s">
        <v>294</v>
      </c>
      <c r="D98" t="s">
        <v>297</v>
      </c>
      <c r="F98" t="s">
        <v>220</v>
      </c>
      <c r="G98">
        <v>1</v>
      </c>
      <c r="H98">
        <v>0.30132536123567516</v>
      </c>
      <c r="I98" t="s">
        <v>311</v>
      </c>
    </row>
    <row r="99" spans="1:9" hidden="1">
      <c r="A99" t="s">
        <v>34</v>
      </c>
      <c r="B99">
        <v>105</v>
      </c>
      <c r="C99" t="s">
        <v>232</v>
      </c>
      <c r="D99" t="s">
        <v>236</v>
      </c>
      <c r="E99" t="s">
        <v>289</v>
      </c>
      <c r="F99" t="s">
        <v>6</v>
      </c>
      <c r="G99">
        <v>15</v>
      </c>
      <c r="H99">
        <v>26.25</v>
      </c>
    </row>
    <row r="100" spans="1:9" hidden="1">
      <c r="A100" t="s">
        <v>32</v>
      </c>
      <c r="B100">
        <v>69</v>
      </c>
      <c r="C100" t="s">
        <v>232</v>
      </c>
      <c r="D100" t="s">
        <v>236</v>
      </c>
      <c r="E100" t="s">
        <v>280</v>
      </c>
      <c r="F100" t="s">
        <v>6</v>
      </c>
      <c r="G100">
        <v>15</v>
      </c>
      <c r="H100">
        <v>17.25</v>
      </c>
    </row>
    <row r="101" spans="1:9" hidden="1">
      <c r="A101" t="s">
        <v>138</v>
      </c>
      <c r="B101">
        <v>39</v>
      </c>
      <c r="C101" t="s">
        <v>232</v>
      </c>
      <c r="D101" t="s">
        <v>236</v>
      </c>
      <c r="E101" t="s">
        <v>238</v>
      </c>
      <c r="F101" t="s">
        <v>222</v>
      </c>
      <c r="G101">
        <v>20</v>
      </c>
      <c r="H101">
        <v>13</v>
      </c>
      <c r="I101" t="s">
        <v>302</v>
      </c>
    </row>
    <row r="102" spans="1:9" hidden="1">
      <c r="A102" t="s">
        <v>315</v>
      </c>
      <c r="B102">
        <v>27214</v>
      </c>
      <c r="C102" t="s">
        <v>294</v>
      </c>
      <c r="D102" t="s">
        <v>296</v>
      </c>
      <c r="F102" t="s">
        <v>6</v>
      </c>
      <c r="G102">
        <v>20</v>
      </c>
      <c r="H102">
        <v>5.4238166417538611</v>
      </c>
      <c r="I102" t="s">
        <v>311</v>
      </c>
    </row>
    <row r="103" spans="1:9" hidden="1">
      <c r="A103" t="s">
        <v>117</v>
      </c>
      <c r="B103">
        <v>44</v>
      </c>
      <c r="C103" t="s">
        <v>232</v>
      </c>
      <c r="D103" t="s">
        <v>233</v>
      </c>
      <c r="E103" t="s">
        <v>250</v>
      </c>
      <c r="F103" t="s">
        <v>224</v>
      </c>
      <c r="G103">
        <v>20</v>
      </c>
      <c r="H103">
        <v>14.666666666666666</v>
      </c>
    </row>
    <row r="104" spans="1:9" hidden="1">
      <c r="A104" t="s">
        <v>326</v>
      </c>
      <c r="B104">
        <v>57</v>
      </c>
      <c r="C104" t="s">
        <v>232</v>
      </c>
      <c r="D104" t="s">
        <v>233</v>
      </c>
      <c r="E104" t="s">
        <v>340</v>
      </c>
      <c r="F104" t="s">
        <v>224</v>
      </c>
      <c r="G104">
        <v>20</v>
      </c>
      <c r="H104">
        <f>(B104/60)*G104</f>
        <v>19</v>
      </c>
    </row>
    <row r="105" spans="1:9" hidden="1">
      <c r="A105" t="s">
        <v>67</v>
      </c>
      <c r="B105">
        <v>30238</v>
      </c>
      <c r="C105" t="s">
        <v>294</v>
      </c>
      <c r="D105" t="s">
        <v>297</v>
      </c>
      <c r="F105" t="s">
        <v>222</v>
      </c>
      <c r="G105">
        <v>5</v>
      </c>
      <c r="H105">
        <v>1.5066268061783759</v>
      </c>
      <c r="I105" t="s">
        <v>309</v>
      </c>
    </row>
    <row r="106" spans="1:9" hidden="1">
      <c r="A106" t="s">
        <v>121</v>
      </c>
      <c r="B106">
        <v>57</v>
      </c>
      <c r="C106" t="s">
        <v>232</v>
      </c>
      <c r="D106" t="s">
        <v>233</v>
      </c>
      <c r="E106" t="s">
        <v>264</v>
      </c>
      <c r="F106" t="s">
        <v>224</v>
      </c>
      <c r="G106">
        <v>20</v>
      </c>
      <c r="H106">
        <v>19</v>
      </c>
    </row>
    <row r="107" spans="1:9" hidden="1">
      <c r="A107" t="s">
        <v>140</v>
      </c>
      <c r="B107">
        <v>77</v>
      </c>
      <c r="C107" t="s">
        <v>232</v>
      </c>
      <c r="D107" t="s">
        <v>233</v>
      </c>
      <c r="E107" t="s">
        <v>286</v>
      </c>
      <c r="F107" t="s">
        <v>224</v>
      </c>
      <c r="G107">
        <v>15</v>
      </c>
      <c r="H107">
        <v>19.25</v>
      </c>
    </row>
    <row r="108" spans="1:9" hidden="1">
      <c r="A108" t="s">
        <v>78</v>
      </c>
      <c r="B108">
        <v>44</v>
      </c>
      <c r="C108" t="s">
        <v>232</v>
      </c>
      <c r="D108" t="s">
        <v>233</v>
      </c>
      <c r="E108" t="s">
        <v>251</v>
      </c>
      <c r="F108" t="s">
        <v>224</v>
      </c>
      <c r="G108">
        <v>20</v>
      </c>
      <c r="H108">
        <v>14.666666666666666</v>
      </c>
    </row>
    <row r="109" spans="1:9" hidden="1">
      <c r="A109" t="s">
        <v>54</v>
      </c>
      <c r="B109">
        <v>62428</v>
      </c>
      <c r="C109" t="s">
        <v>294</v>
      </c>
      <c r="D109" t="s">
        <v>300</v>
      </c>
      <c r="F109" t="s">
        <v>225</v>
      </c>
      <c r="G109">
        <v>5</v>
      </c>
      <c r="H109">
        <v>3.1105132037867467</v>
      </c>
      <c r="I109" t="s">
        <v>310</v>
      </c>
    </row>
    <row r="110" spans="1:9" hidden="1">
      <c r="A110" t="s">
        <v>42</v>
      </c>
      <c r="B110">
        <v>30238</v>
      </c>
      <c r="C110" t="s">
        <v>294</v>
      </c>
      <c r="D110" t="s">
        <v>297</v>
      </c>
      <c r="F110" t="s">
        <v>220</v>
      </c>
      <c r="G110">
        <v>1</v>
      </c>
      <c r="H110">
        <v>0.30132536123567516</v>
      </c>
      <c r="I110" t="s">
        <v>311</v>
      </c>
    </row>
    <row r="111" spans="1:9" hidden="1">
      <c r="A111" t="s">
        <v>123</v>
      </c>
      <c r="B111">
        <v>48</v>
      </c>
      <c r="C111" t="s">
        <v>232</v>
      </c>
      <c r="D111" t="s">
        <v>259</v>
      </c>
      <c r="E111" t="s">
        <v>261</v>
      </c>
      <c r="F111" t="s">
        <v>221</v>
      </c>
      <c r="G111">
        <v>5</v>
      </c>
      <c r="H111">
        <v>4</v>
      </c>
      <c r="I111" t="s">
        <v>307</v>
      </c>
    </row>
    <row r="112" spans="1:9" hidden="1">
      <c r="A112" t="s">
        <v>334</v>
      </c>
      <c r="B112">
        <v>90859</v>
      </c>
      <c r="C112" t="s">
        <v>294</v>
      </c>
      <c r="D112" t="s">
        <v>301</v>
      </c>
      <c r="F112" t="s">
        <v>220</v>
      </c>
      <c r="G112">
        <v>15</v>
      </c>
      <c r="H112">
        <v>13.581315396113602</v>
      </c>
    </row>
    <row r="113" spans="1:9" hidden="1">
      <c r="A113" t="s">
        <v>96</v>
      </c>
      <c r="B113">
        <v>62428</v>
      </c>
      <c r="C113" t="s">
        <v>294</v>
      </c>
      <c r="D113" t="s">
        <v>300</v>
      </c>
      <c r="F113" t="s">
        <v>220</v>
      </c>
      <c r="G113">
        <v>10</v>
      </c>
      <c r="H113">
        <v>6.2210264075734933</v>
      </c>
      <c r="I113" t="s">
        <v>311</v>
      </c>
    </row>
    <row r="114" spans="1:9" hidden="1">
      <c r="A114" t="s">
        <v>62</v>
      </c>
      <c r="B114">
        <v>44</v>
      </c>
      <c r="C114" t="s">
        <v>232</v>
      </c>
      <c r="D114" t="s">
        <v>233</v>
      </c>
      <c r="E114" t="s">
        <v>252</v>
      </c>
      <c r="F114" t="s">
        <v>224</v>
      </c>
      <c r="G114">
        <v>20</v>
      </c>
      <c r="H114">
        <v>14.666666666666666</v>
      </c>
    </row>
    <row r="115" spans="1:9" hidden="1">
      <c r="A115" t="s">
        <v>113</v>
      </c>
      <c r="B115">
        <v>77</v>
      </c>
      <c r="C115" t="s">
        <v>232</v>
      </c>
      <c r="D115" t="s">
        <v>233</v>
      </c>
      <c r="E115" t="s">
        <v>287</v>
      </c>
      <c r="F115" t="s">
        <v>224</v>
      </c>
      <c r="G115">
        <v>15</v>
      </c>
      <c r="H115">
        <v>19.25</v>
      </c>
    </row>
    <row r="116" spans="1:9" hidden="1">
      <c r="A116" t="s">
        <v>72</v>
      </c>
      <c r="B116">
        <v>106</v>
      </c>
      <c r="C116" t="s">
        <v>232</v>
      </c>
      <c r="D116" t="s">
        <v>233</v>
      </c>
      <c r="E116" t="s">
        <v>293</v>
      </c>
      <c r="F116" t="s">
        <v>224</v>
      </c>
      <c r="G116">
        <v>20</v>
      </c>
      <c r="H116">
        <v>35.333333333333329</v>
      </c>
    </row>
    <row r="117" spans="1:9" hidden="1">
      <c r="A117" t="s">
        <v>63</v>
      </c>
      <c r="B117">
        <v>57</v>
      </c>
      <c r="C117" t="s">
        <v>232</v>
      </c>
      <c r="D117" t="s">
        <v>233</v>
      </c>
      <c r="E117" t="s">
        <v>265</v>
      </c>
      <c r="F117" t="s">
        <v>224</v>
      </c>
      <c r="G117">
        <v>15</v>
      </c>
      <c r="H117">
        <v>14.25</v>
      </c>
    </row>
    <row r="118" spans="1:9" hidden="1">
      <c r="A118" t="s">
        <v>101</v>
      </c>
      <c r="B118">
        <v>30238</v>
      </c>
      <c r="C118" t="s">
        <v>294</v>
      </c>
      <c r="D118" t="s">
        <v>297</v>
      </c>
      <c r="F118" t="s">
        <v>222</v>
      </c>
      <c r="G118">
        <v>15</v>
      </c>
      <c r="H118">
        <v>4.5198804185351271</v>
      </c>
      <c r="I118" t="s">
        <v>309</v>
      </c>
    </row>
    <row r="119" spans="1:9" hidden="1">
      <c r="A119" t="s">
        <v>25</v>
      </c>
      <c r="B119">
        <v>57</v>
      </c>
      <c r="C119" t="s">
        <v>232</v>
      </c>
      <c r="D119" t="s">
        <v>233</v>
      </c>
      <c r="E119" t="s">
        <v>266</v>
      </c>
      <c r="F119" t="s">
        <v>224</v>
      </c>
      <c r="G119">
        <v>15</v>
      </c>
      <c r="H119">
        <v>14.25</v>
      </c>
    </row>
    <row r="120" spans="1:9" hidden="1">
      <c r="A120" t="s">
        <v>23</v>
      </c>
      <c r="B120">
        <v>22984</v>
      </c>
      <c r="C120" t="s">
        <v>294</v>
      </c>
      <c r="D120" t="s">
        <v>295</v>
      </c>
      <c r="F120" t="s">
        <v>222</v>
      </c>
      <c r="G120">
        <v>10</v>
      </c>
      <c r="H120">
        <v>2.2903836571998006</v>
      </c>
      <c r="I120" t="s">
        <v>311</v>
      </c>
    </row>
    <row r="121" spans="1:9" hidden="1">
      <c r="A121" t="s">
        <v>97</v>
      </c>
      <c r="B121">
        <v>22984</v>
      </c>
      <c r="C121" t="s">
        <v>294</v>
      </c>
      <c r="D121" t="s">
        <v>295</v>
      </c>
      <c r="F121" t="s">
        <v>222</v>
      </c>
      <c r="G121">
        <v>20</v>
      </c>
      <c r="H121">
        <v>4.5807673143996013</v>
      </c>
      <c r="I121" t="s">
        <v>311</v>
      </c>
    </row>
    <row r="122" spans="1:9" hidden="1">
      <c r="A122" t="s">
        <v>47</v>
      </c>
      <c r="B122">
        <v>44</v>
      </c>
      <c r="C122" t="s">
        <v>232</v>
      </c>
      <c r="D122" t="s">
        <v>233</v>
      </c>
      <c r="E122" t="s">
        <v>253</v>
      </c>
      <c r="F122" t="s">
        <v>224</v>
      </c>
      <c r="G122">
        <v>20</v>
      </c>
      <c r="H122">
        <v>14.666666666666666</v>
      </c>
    </row>
    <row r="123" spans="1:9" hidden="1">
      <c r="A123" t="s">
        <v>107</v>
      </c>
      <c r="B123">
        <v>77</v>
      </c>
      <c r="C123" t="s">
        <v>232</v>
      </c>
      <c r="D123" t="s">
        <v>233</v>
      </c>
      <c r="E123" t="s">
        <v>288</v>
      </c>
      <c r="F123" t="s">
        <v>224</v>
      </c>
      <c r="G123">
        <v>15</v>
      </c>
      <c r="H123">
        <v>19.25</v>
      </c>
    </row>
    <row r="124" spans="1:9" hidden="1">
      <c r="A124" t="s">
        <v>95</v>
      </c>
      <c r="B124">
        <v>77</v>
      </c>
      <c r="C124" t="s">
        <v>232</v>
      </c>
      <c r="D124" t="s">
        <v>233</v>
      </c>
      <c r="E124" t="s">
        <v>288</v>
      </c>
      <c r="F124" t="s">
        <v>224</v>
      </c>
      <c r="G124">
        <v>15</v>
      </c>
      <c r="H124">
        <v>19.25</v>
      </c>
    </row>
    <row r="125" spans="1:9" hidden="1">
      <c r="A125" t="s">
        <v>94</v>
      </c>
      <c r="B125">
        <v>68</v>
      </c>
      <c r="C125" t="s">
        <v>232</v>
      </c>
      <c r="D125" t="s">
        <v>233</v>
      </c>
      <c r="E125" t="s">
        <v>277</v>
      </c>
      <c r="F125" t="s">
        <v>224</v>
      </c>
      <c r="G125">
        <v>15</v>
      </c>
      <c r="H125">
        <v>17</v>
      </c>
    </row>
    <row r="126" spans="1:9" hidden="1">
      <c r="A126" t="s">
        <v>89</v>
      </c>
      <c r="B126">
        <v>30238</v>
      </c>
      <c r="C126" t="s">
        <v>294</v>
      </c>
      <c r="D126" t="s">
        <v>297</v>
      </c>
      <c r="F126" t="s">
        <v>222</v>
      </c>
      <c r="G126">
        <v>2</v>
      </c>
      <c r="H126">
        <v>0.60265072247135032</v>
      </c>
      <c r="I126" t="s">
        <v>311</v>
      </c>
    </row>
    <row r="127" spans="1:9" hidden="1">
      <c r="A127" t="s">
        <v>49</v>
      </c>
      <c r="B127">
        <v>3.7</v>
      </c>
      <c r="C127" t="s">
        <v>230</v>
      </c>
      <c r="D127" t="s">
        <v>231</v>
      </c>
      <c r="F127" t="s">
        <v>314</v>
      </c>
      <c r="G127">
        <v>15</v>
      </c>
      <c r="H127">
        <v>55.5</v>
      </c>
      <c r="I127" t="s">
        <v>302</v>
      </c>
    </row>
    <row r="128" spans="1:9" hidden="1">
      <c r="A128" t="s">
        <v>149</v>
      </c>
      <c r="B128">
        <v>27214</v>
      </c>
      <c r="C128" t="s">
        <v>294</v>
      </c>
      <c r="D128" t="s">
        <v>296</v>
      </c>
      <c r="F128" t="s">
        <v>224</v>
      </c>
      <c r="G128">
        <v>20</v>
      </c>
      <c r="H128">
        <v>5.4238166417538611</v>
      </c>
      <c r="I128" t="s">
        <v>311</v>
      </c>
    </row>
    <row r="129" spans="1:9" hidden="1">
      <c r="A129" t="s">
        <v>329</v>
      </c>
      <c r="B129">
        <v>121</v>
      </c>
      <c r="C129" t="s">
        <v>232</v>
      </c>
      <c r="D129" t="s">
        <v>339</v>
      </c>
      <c r="F129" t="s">
        <v>314</v>
      </c>
      <c r="G129">
        <v>20</v>
      </c>
      <c r="H129">
        <f>(B129/60)*G129</f>
        <v>40.333333333333329</v>
      </c>
      <c r="I129" t="s">
        <v>306</v>
      </c>
    </row>
    <row r="130" spans="1:9" hidden="1">
      <c r="A130" t="s">
        <v>105</v>
      </c>
      <c r="B130">
        <v>68</v>
      </c>
      <c r="C130" t="s">
        <v>232</v>
      </c>
      <c r="D130" t="s">
        <v>233</v>
      </c>
      <c r="E130" t="s">
        <v>278</v>
      </c>
      <c r="F130" t="s">
        <v>224</v>
      </c>
      <c r="G130">
        <v>20</v>
      </c>
      <c r="H130">
        <v>22.666666666666664</v>
      </c>
      <c r="I130" t="s">
        <v>302</v>
      </c>
    </row>
    <row r="131" spans="1:9" hidden="1">
      <c r="A131" t="s">
        <v>100</v>
      </c>
      <c r="B131">
        <v>44</v>
      </c>
      <c r="C131" t="s">
        <v>232</v>
      </c>
      <c r="D131" t="s">
        <v>233</v>
      </c>
      <c r="E131" t="s">
        <v>254</v>
      </c>
      <c r="F131" t="s">
        <v>224</v>
      </c>
      <c r="G131">
        <v>20</v>
      </c>
      <c r="H131">
        <v>14.666666666666666</v>
      </c>
    </row>
    <row r="132" spans="1:9" hidden="1">
      <c r="A132" t="s">
        <v>142</v>
      </c>
      <c r="B132">
        <v>44</v>
      </c>
      <c r="C132" t="s">
        <v>232</v>
      </c>
      <c r="D132" t="s">
        <v>233</v>
      </c>
      <c r="E132" t="s">
        <v>255</v>
      </c>
      <c r="F132" t="s">
        <v>224</v>
      </c>
      <c r="G132">
        <v>20</v>
      </c>
      <c r="H132">
        <v>14.666666666666666</v>
      </c>
    </row>
    <row r="133" spans="1:9" hidden="1">
      <c r="A133" t="s">
        <v>126</v>
      </c>
      <c r="B133">
        <v>68</v>
      </c>
      <c r="C133" t="s">
        <v>232</v>
      </c>
      <c r="D133" t="s">
        <v>233</v>
      </c>
      <c r="E133" t="s">
        <v>279</v>
      </c>
      <c r="F133" t="s">
        <v>224</v>
      </c>
      <c r="G133">
        <v>15</v>
      </c>
      <c r="H133">
        <v>17</v>
      </c>
    </row>
    <row r="134" spans="1:9" hidden="1">
      <c r="A134" t="s">
        <v>129</v>
      </c>
      <c r="B134">
        <v>57</v>
      </c>
      <c r="C134" t="s">
        <v>232</v>
      </c>
      <c r="D134" t="s">
        <v>233</v>
      </c>
      <c r="E134" t="s">
        <v>267</v>
      </c>
      <c r="F134" t="s">
        <v>224</v>
      </c>
      <c r="G134">
        <v>15</v>
      </c>
      <c r="H134">
        <v>14.25</v>
      </c>
    </row>
    <row r="135" spans="1:9" hidden="1">
      <c r="A135" t="s">
        <v>84</v>
      </c>
      <c r="B135">
        <v>3.7</v>
      </c>
      <c r="C135" t="s">
        <v>230</v>
      </c>
      <c r="D135" t="s">
        <v>231</v>
      </c>
      <c r="F135" t="s">
        <v>224</v>
      </c>
      <c r="G135">
        <v>20</v>
      </c>
      <c r="H135">
        <v>74</v>
      </c>
    </row>
    <row r="136" spans="1:9" hidden="1">
      <c r="A136" t="s">
        <v>3</v>
      </c>
      <c r="B136">
        <v>30238</v>
      </c>
      <c r="C136" t="s">
        <v>294</v>
      </c>
      <c r="D136" t="s">
        <v>297</v>
      </c>
      <c r="F136" t="s">
        <v>220</v>
      </c>
      <c r="G136">
        <v>2</v>
      </c>
      <c r="H136">
        <v>0.60265072247135032</v>
      </c>
      <c r="I136" t="s">
        <v>311</v>
      </c>
    </row>
    <row r="137" spans="1:9" hidden="1">
      <c r="A137" t="s">
        <v>106</v>
      </c>
      <c r="B137">
        <v>62428</v>
      </c>
      <c r="C137" t="s">
        <v>294</v>
      </c>
      <c r="D137" t="s">
        <v>300</v>
      </c>
      <c r="F137" t="s">
        <v>223</v>
      </c>
      <c r="G137">
        <v>20</v>
      </c>
      <c r="H137">
        <v>12.442052815146987</v>
      </c>
      <c r="I137" t="s">
        <v>311</v>
      </c>
    </row>
    <row r="138" spans="1:9" hidden="1">
      <c r="A138" t="s">
        <v>102</v>
      </c>
      <c r="B138">
        <v>44</v>
      </c>
      <c r="C138" t="s">
        <v>232</v>
      </c>
      <c r="D138" t="s">
        <v>233</v>
      </c>
      <c r="E138" t="s">
        <v>256</v>
      </c>
      <c r="F138" t="s">
        <v>222</v>
      </c>
      <c r="G138">
        <v>20</v>
      </c>
      <c r="H138">
        <v>14.666666666666666</v>
      </c>
      <c r="I138" t="s">
        <v>302</v>
      </c>
    </row>
    <row r="139" spans="1:9" hidden="1">
      <c r="A139" t="s">
        <v>11</v>
      </c>
      <c r="B139">
        <v>3.7</v>
      </c>
      <c r="C139" t="s">
        <v>230</v>
      </c>
      <c r="D139" t="s">
        <v>231</v>
      </c>
      <c r="F139" t="s">
        <v>313</v>
      </c>
      <c r="G139">
        <v>15</v>
      </c>
      <c r="H139">
        <v>55.5</v>
      </c>
    </row>
    <row r="140" spans="1:9" hidden="1">
      <c r="A140" t="s">
        <v>19</v>
      </c>
      <c r="B140">
        <v>30238</v>
      </c>
      <c r="C140" t="s">
        <v>294</v>
      </c>
      <c r="D140" t="s">
        <v>297</v>
      </c>
      <c r="F140" t="s">
        <v>220</v>
      </c>
      <c r="G140">
        <v>10</v>
      </c>
      <c r="H140">
        <v>3.0132536123567517</v>
      </c>
      <c r="I140" t="s">
        <v>311</v>
      </c>
    </row>
    <row r="141" spans="1:9" hidden="1">
      <c r="A141" t="s">
        <v>15</v>
      </c>
      <c r="B141">
        <v>90859</v>
      </c>
      <c r="C141" t="s">
        <v>294</v>
      </c>
      <c r="D141" t="s">
        <v>301</v>
      </c>
      <c r="F141" t="s">
        <v>220</v>
      </c>
      <c r="G141">
        <v>10</v>
      </c>
      <c r="H141">
        <v>9.0542102640757349</v>
      </c>
      <c r="I141" t="s">
        <v>311</v>
      </c>
    </row>
    <row r="142" spans="1:9" hidden="1">
      <c r="A142" t="s">
        <v>324</v>
      </c>
      <c r="B142">
        <v>103</v>
      </c>
      <c r="C142" t="s">
        <v>232</v>
      </c>
      <c r="D142" t="s">
        <v>341</v>
      </c>
      <c r="F142" t="s">
        <v>314</v>
      </c>
      <c r="G142">
        <v>15</v>
      </c>
      <c r="H142">
        <f>(B142/60)*G142</f>
        <v>25.75</v>
      </c>
      <c r="I142" t="s">
        <v>307</v>
      </c>
    </row>
    <row r="143" spans="1:9" hidden="1">
      <c r="A143" t="s">
        <v>92</v>
      </c>
      <c r="B143">
        <v>3.7</v>
      </c>
      <c r="C143" t="s">
        <v>230</v>
      </c>
      <c r="D143" t="s">
        <v>231</v>
      </c>
      <c r="F143" t="s">
        <v>314</v>
      </c>
      <c r="G143">
        <v>15</v>
      </c>
      <c r="H143">
        <v>55.5</v>
      </c>
    </row>
    <row r="144" spans="1:9" hidden="1">
      <c r="A144" t="s">
        <v>27</v>
      </c>
      <c r="B144">
        <v>90859</v>
      </c>
      <c r="C144" t="s">
        <v>294</v>
      </c>
      <c r="D144" t="s">
        <v>301</v>
      </c>
      <c r="F144" t="s">
        <v>220</v>
      </c>
      <c r="G144">
        <v>10</v>
      </c>
      <c r="H144">
        <v>9.0542102640757349</v>
      </c>
      <c r="I144" t="s">
        <v>311</v>
      </c>
    </row>
    <row r="145" spans="1:9" hidden="1">
      <c r="A145" t="s">
        <v>17</v>
      </c>
      <c r="B145">
        <v>3.7</v>
      </c>
      <c r="C145" t="s">
        <v>230</v>
      </c>
      <c r="D145" t="s">
        <v>231</v>
      </c>
      <c r="F145" t="s">
        <v>313</v>
      </c>
      <c r="G145">
        <v>15</v>
      </c>
      <c r="H145">
        <v>55.5</v>
      </c>
    </row>
    <row r="146" spans="1:9" hidden="1">
      <c r="A146" t="s">
        <v>30</v>
      </c>
      <c r="B146">
        <v>58</v>
      </c>
      <c r="C146" t="s">
        <v>232</v>
      </c>
      <c r="D146" t="s">
        <v>236</v>
      </c>
      <c r="E146" t="s">
        <v>269</v>
      </c>
      <c r="F146" t="s">
        <v>6</v>
      </c>
      <c r="G146">
        <v>20</v>
      </c>
      <c r="H146">
        <v>19.333333333333332</v>
      </c>
    </row>
    <row r="147" spans="1:9" hidden="1">
      <c r="A147" t="s">
        <v>143</v>
      </c>
      <c r="B147">
        <v>48</v>
      </c>
      <c r="C147" t="s">
        <v>232</v>
      </c>
      <c r="D147" t="s">
        <v>259</v>
      </c>
      <c r="E147" t="s">
        <v>260</v>
      </c>
      <c r="F147" t="s">
        <v>221</v>
      </c>
      <c r="G147">
        <v>5</v>
      </c>
      <c r="H147">
        <v>4</v>
      </c>
      <c r="I147" t="s">
        <v>307</v>
      </c>
    </row>
    <row r="148" spans="1:9" hidden="1">
      <c r="A148" t="s">
        <v>317</v>
      </c>
      <c r="B148">
        <v>48</v>
      </c>
      <c r="C148" t="s">
        <v>232</v>
      </c>
      <c r="D148" t="s">
        <v>259</v>
      </c>
      <c r="E148" t="s">
        <v>260</v>
      </c>
      <c r="F148" t="s">
        <v>221</v>
      </c>
      <c r="G148">
        <v>5</v>
      </c>
      <c r="H148">
        <v>4</v>
      </c>
      <c r="I148" t="s">
        <v>307</v>
      </c>
    </row>
    <row r="149" spans="1:9" hidden="1">
      <c r="A149" t="s">
        <v>150</v>
      </c>
      <c r="B149">
        <v>48</v>
      </c>
      <c r="C149" t="s">
        <v>232</v>
      </c>
      <c r="D149" t="s">
        <v>259</v>
      </c>
      <c r="E149" t="s">
        <v>260</v>
      </c>
      <c r="F149" t="s">
        <v>221</v>
      </c>
      <c r="G149">
        <v>5</v>
      </c>
      <c r="H149">
        <v>4</v>
      </c>
      <c r="I149" t="s">
        <v>307</v>
      </c>
    </row>
    <row r="150" spans="1:9" hidden="1">
      <c r="A150" t="s">
        <v>114</v>
      </c>
      <c r="B150">
        <v>48</v>
      </c>
      <c r="C150" t="s">
        <v>232</v>
      </c>
      <c r="D150" t="s">
        <v>259</v>
      </c>
      <c r="E150" t="s">
        <v>260</v>
      </c>
      <c r="F150" t="s">
        <v>221</v>
      </c>
      <c r="G150">
        <v>5</v>
      </c>
      <c r="H150">
        <v>4</v>
      </c>
      <c r="I150" t="s">
        <v>307</v>
      </c>
    </row>
    <row r="151" spans="1:9" hidden="1">
      <c r="A151" t="s">
        <v>16</v>
      </c>
      <c r="B151">
        <v>58</v>
      </c>
      <c r="C151" t="s">
        <v>232</v>
      </c>
      <c r="D151" t="s">
        <v>236</v>
      </c>
      <c r="E151" t="s">
        <v>269</v>
      </c>
      <c r="F151" t="s">
        <v>6</v>
      </c>
      <c r="G151">
        <v>30</v>
      </c>
      <c r="H151">
        <v>29</v>
      </c>
    </row>
    <row r="152" spans="1:9" hidden="1">
      <c r="A152" t="s">
        <v>68</v>
      </c>
      <c r="B152">
        <v>58</v>
      </c>
      <c r="C152" t="s">
        <v>232</v>
      </c>
      <c r="D152" t="s">
        <v>236</v>
      </c>
      <c r="E152" t="s">
        <v>270</v>
      </c>
      <c r="F152" t="s">
        <v>224</v>
      </c>
      <c r="G152">
        <v>15</v>
      </c>
      <c r="H152">
        <v>14.5</v>
      </c>
      <c r="I152" t="s">
        <v>302</v>
      </c>
    </row>
    <row r="153" spans="1:9" hidden="1">
      <c r="A153" t="s">
        <v>111</v>
      </c>
      <c r="B153">
        <v>3.7</v>
      </c>
      <c r="C153" t="s">
        <v>230</v>
      </c>
      <c r="D153" t="s">
        <v>231</v>
      </c>
      <c r="F153" t="s">
        <v>314</v>
      </c>
      <c r="G153">
        <v>15</v>
      </c>
      <c r="H153">
        <v>55.5</v>
      </c>
    </row>
    <row r="154" spans="1:9" hidden="1">
      <c r="A154" t="s">
        <v>61</v>
      </c>
      <c r="B154">
        <v>3.7</v>
      </c>
      <c r="C154" t="s">
        <v>230</v>
      </c>
      <c r="D154" t="s">
        <v>231</v>
      </c>
      <c r="F154" t="s">
        <v>6</v>
      </c>
      <c r="G154">
        <v>15</v>
      </c>
      <c r="H154">
        <v>55.5</v>
      </c>
    </row>
    <row r="155" spans="1:9" hidden="1">
      <c r="A155" t="s">
        <v>21</v>
      </c>
      <c r="B155">
        <v>47</v>
      </c>
      <c r="C155" t="s">
        <v>232</v>
      </c>
      <c r="D155" t="s">
        <v>236</v>
      </c>
      <c r="E155" t="s">
        <v>258</v>
      </c>
      <c r="F155" t="s">
        <v>6</v>
      </c>
      <c r="G155">
        <v>20</v>
      </c>
      <c r="H155">
        <v>15.666666666666666</v>
      </c>
    </row>
    <row r="156" spans="1:9" hidden="1">
      <c r="A156" t="s">
        <v>327</v>
      </c>
      <c r="B156">
        <v>27214</v>
      </c>
      <c r="C156" t="s">
        <v>294</v>
      </c>
      <c r="D156" t="s">
        <v>296</v>
      </c>
      <c r="F156" t="s">
        <v>6</v>
      </c>
      <c r="G156">
        <v>20</v>
      </c>
      <c r="H156">
        <v>5.4238166417538611</v>
      </c>
      <c r="I156" t="s">
        <v>311</v>
      </c>
    </row>
    <row r="157" spans="1:9" hidden="1">
      <c r="A157" t="s">
        <v>130</v>
      </c>
      <c r="B157">
        <v>27214</v>
      </c>
      <c r="C157" t="s">
        <v>294</v>
      </c>
      <c r="D157" t="s">
        <v>296</v>
      </c>
      <c r="F157" t="s">
        <v>222</v>
      </c>
      <c r="G157">
        <v>20</v>
      </c>
      <c r="H157">
        <v>5.4238166417538611</v>
      </c>
      <c r="I157" t="s">
        <v>311</v>
      </c>
    </row>
    <row r="158" spans="1:9" hidden="1">
      <c r="A158" t="s">
        <v>154</v>
      </c>
      <c r="B158">
        <v>27214</v>
      </c>
      <c r="C158" t="s">
        <v>294</v>
      </c>
      <c r="D158" t="s">
        <v>296</v>
      </c>
      <c r="F158" t="s">
        <v>6</v>
      </c>
      <c r="G158">
        <v>20</v>
      </c>
      <c r="H158">
        <v>5.4238166417538611</v>
      </c>
      <c r="I158" t="s">
        <v>311</v>
      </c>
    </row>
    <row r="159" spans="1:9" hidden="1">
      <c r="A159" t="s">
        <v>336</v>
      </c>
      <c r="B159">
        <v>27214</v>
      </c>
      <c r="C159" t="s">
        <v>294</v>
      </c>
      <c r="D159" t="s">
        <v>296</v>
      </c>
      <c r="F159" t="s">
        <v>222</v>
      </c>
      <c r="G159">
        <v>5</v>
      </c>
      <c r="H159">
        <v>1.3559541604384653</v>
      </c>
      <c r="I159" t="s">
        <v>311</v>
      </c>
    </row>
    <row r="160" spans="1:9" hidden="1">
      <c r="A160" t="s">
        <v>108</v>
      </c>
      <c r="B160">
        <v>27214</v>
      </c>
      <c r="C160" t="s">
        <v>294</v>
      </c>
      <c r="D160" t="s">
        <v>296</v>
      </c>
      <c r="F160" t="s">
        <v>6</v>
      </c>
      <c r="G160">
        <v>20</v>
      </c>
      <c r="H160">
        <v>5.4238166417538611</v>
      </c>
      <c r="I160" t="s">
        <v>311</v>
      </c>
    </row>
    <row r="161" spans="1:9" hidden="1">
      <c r="A161" t="s">
        <v>145</v>
      </c>
      <c r="B161">
        <v>27214</v>
      </c>
      <c r="C161" t="s">
        <v>294</v>
      </c>
      <c r="D161" t="s">
        <v>296</v>
      </c>
      <c r="F161" t="s">
        <v>224</v>
      </c>
      <c r="G161">
        <v>20</v>
      </c>
      <c r="H161">
        <v>5.4238166417538611</v>
      </c>
      <c r="I161" t="s">
        <v>311</v>
      </c>
    </row>
    <row r="162" spans="1:9" hidden="1">
      <c r="A162" t="s">
        <v>91</v>
      </c>
      <c r="B162">
        <v>27214</v>
      </c>
      <c r="C162" t="s">
        <v>294</v>
      </c>
      <c r="D162" t="s">
        <v>296</v>
      </c>
      <c r="F162" t="s">
        <v>6</v>
      </c>
      <c r="G162">
        <v>20</v>
      </c>
      <c r="H162">
        <v>5.4238166417538611</v>
      </c>
      <c r="I162" t="s">
        <v>311</v>
      </c>
    </row>
    <row r="163" spans="1:9" hidden="1">
      <c r="A163" t="s">
        <v>157</v>
      </c>
      <c r="B163">
        <v>27214</v>
      </c>
      <c r="C163" t="s">
        <v>294</v>
      </c>
      <c r="D163" t="s">
        <v>296</v>
      </c>
      <c r="F163" t="s">
        <v>222</v>
      </c>
      <c r="G163">
        <v>5</v>
      </c>
      <c r="H163">
        <v>1.3559541604384653</v>
      </c>
      <c r="I163" t="s">
        <v>311</v>
      </c>
    </row>
    <row r="164" spans="1:9" hidden="1">
      <c r="A164" t="s">
        <v>191</v>
      </c>
      <c r="B164">
        <v>35631</v>
      </c>
      <c r="C164" t="s">
        <v>294</v>
      </c>
      <c r="D164" t="s">
        <v>298</v>
      </c>
      <c r="F164" t="s">
        <v>220</v>
      </c>
      <c r="G164">
        <v>1</v>
      </c>
      <c r="H164">
        <v>0.35506726457399101</v>
      </c>
      <c r="I164" t="s">
        <v>311</v>
      </c>
    </row>
    <row r="165" spans="1:9" hidden="1">
      <c r="A165" t="s">
        <v>9</v>
      </c>
      <c r="B165">
        <v>30238</v>
      </c>
      <c r="C165" t="s">
        <v>294</v>
      </c>
      <c r="D165" t="s">
        <v>297</v>
      </c>
      <c r="F165" t="s">
        <v>220</v>
      </c>
      <c r="G165">
        <v>1</v>
      </c>
      <c r="H165">
        <v>0.30132536123567516</v>
      </c>
      <c r="I165" t="s">
        <v>311</v>
      </c>
    </row>
    <row r="166" spans="1:9" hidden="1">
      <c r="A166" t="s">
        <v>37</v>
      </c>
      <c r="B166">
        <v>39</v>
      </c>
      <c r="C166" t="s">
        <v>232</v>
      </c>
      <c r="D166" t="s">
        <v>233</v>
      </c>
      <c r="E166" t="s">
        <v>240</v>
      </c>
      <c r="F166" t="s">
        <v>222</v>
      </c>
      <c r="G166">
        <v>5</v>
      </c>
      <c r="H166">
        <v>3.25</v>
      </c>
      <c r="I166" t="s">
        <v>306</v>
      </c>
    </row>
    <row r="167" spans="1:9" hidden="1">
      <c r="A167" t="s">
        <v>146</v>
      </c>
      <c r="B167">
        <v>30238</v>
      </c>
      <c r="C167" t="s">
        <v>294</v>
      </c>
      <c r="D167" t="s">
        <v>297</v>
      </c>
      <c r="F167" t="s">
        <v>222</v>
      </c>
      <c r="G167">
        <v>5</v>
      </c>
      <c r="H167">
        <v>1.5066268061783759</v>
      </c>
      <c r="I167" t="s">
        <v>311</v>
      </c>
    </row>
    <row r="168" spans="1:9">
      <c r="A168" t="s">
        <v>36</v>
      </c>
      <c r="B168">
        <v>30238</v>
      </c>
      <c r="C168" t="s">
        <v>294</v>
      </c>
      <c r="D168" t="s">
        <v>297</v>
      </c>
      <c r="F168" t="s">
        <v>220</v>
      </c>
      <c r="G168">
        <v>1</v>
      </c>
      <c r="H168">
        <v>0.30132536123567516</v>
      </c>
      <c r="I168" t="s">
        <v>311</v>
      </c>
    </row>
    <row r="169" spans="1:9" hidden="1">
      <c r="A169" t="s">
        <v>135</v>
      </c>
      <c r="B169">
        <v>39</v>
      </c>
      <c r="C169" t="s">
        <v>232</v>
      </c>
      <c r="D169" t="s">
        <v>233</v>
      </c>
      <c r="E169" t="s">
        <v>241</v>
      </c>
      <c r="F169" t="s">
        <v>224</v>
      </c>
      <c r="G169">
        <v>10</v>
      </c>
      <c r="H169">
        <v>6.5</v>
      </c>
    </row>
    <row r="170" spans="1:9" hidden="1">
      <c r="A170" t="s">
        <v>330</v>
      </c>
      <c r="B170">
        <v>39</v>
      </c>
      <c r="C170" t="s">
        <v>232</v>
      </c>
      <c r="D170" t="s">
        <v>233</v>
      </c>
      <c r="E170" t="s">
        <v>241</v>
      </c>
      <c r="F170" t="s">
        <v>224</v>
      </c>
      <c r="G170">
        <v>10</v>
      </c>
      <c r="H170">
        <v>6.5</v>
      </c>
    </row>
    <row r="171" spans="1:9" hidden="1">
      <c r="A171" t="s">
        <v>85</v>
      </c>
      <c r="B171">
        <v>57</v>
      </c>
      <c r="C171" t="s">
        <v>232</v>
      </c>
      <c r="D171" t="s">
        <v>233</v>
      </c>
      <c r="E171" t="s">
        <v>268</v>
      </c>
      <c r="F171" t="s">
        <v>224</v>
      </c>
      <c r="G171">
        <v>20</v>
      </c>
      <c r="H171">
        <v>19</v>
      </c>
      <c r="I171" t="s">
        <v>302</v>
      </c>
    </row>
    <row r="172" spans="1:9" hidden="1">
      <c r="A172" t="s">
        <v>83</v>
      </c>
      <c r="B172">
        <v>39</v>
      </c>
      <c r="C172" t="s">
        <v>232</v>
      </c>
      <c r="D172" t="s">
        <v>233</v>
      </c>
      <c r="E172" t="s">
        <v>242</v>
      </c>
      <c r="F172" t="s">
        <v>222</v>
      </c>
      <c r="G172">
        <v>20</v>
      </c>
      <c r="H172">
        <v>13</v>
      </c>
    </row>
    <row r="173" spans="1:9" hidden="1">
      <c r="A173" t="s">
        <v>318</v>
      </c>
      <c r="B173">
        <v>39</v>
      </c>
      <c r="C173" t="s">
        <v>232</v>
      </c>
      <c r="D173" t="s">
        <v>233</v>
      </c>
      <c r="E173" t="s">
        <v>242</v>
      </c>
      <c r="F173" t="s">
        <v>222</v>
      </c>
      <c r="G173">
        <v>20</v>
      </c>
      <c r="H173">
        <v>13</v>
      </c>
    </row>
    <row r="174" spans="1:9" hidden="1">
      <c r="A174" t="s">
        <v>320</v>
      </c>
      <c r="B174">
        <v>3.7</v>
      </c>
      <c r="C174" t="s">
        <v>230</v>
      </c>
      <c r="D174" t="s">
        <v>231</v>
      </c>
      <c r="F174" t="s">
        <v>314</v>
      </c>
      <c r="G174">
        <v>15</v>
      </c>
      <c r="H174">
        <v>55.5</v>
      </c>
      <c r="I174" t="s">
        <v>307</v>
      </c>
    </row>
    <row r="175" spans="1:9" hidden="1">
      <c r="A175" t="s">
        <v>128</v>
      </c>
      <c r="B175">
        <v>3.7</v>
      </c>
      <c r="C175" t="s">
        <v>230</v>
      </c>
      <c r="D175" t="s">
        <v>231</v>
      </c>
      <c r="F175" t="s">
        <v>314</v>
      </c>
      <c r="G175">
        <v>15</v>
      </c>
      <c r="H175">
        <v>55.5</v>
      </c>
    </row>
    <row r="176" spans="1:9" hidden="1">
      <c r="A176" t="s">
        <v>147</v>
      </c>
      <c r="B176">
        <v>30238</v>
      </c>
      <c r="C176" t="s">
        <v>294</v>
      </c>
      <c r="D176" t="s">
        <v>297</v>
      </c>
      <c r="F176" t="s">
        <v>220</v>
      </c>
      <c r="G176">
        <v>1</v>
      </c>
      <c r="H176">
        <v>0.30132536123567516</v>
      </c>
      <c r="I176" t="s">
        <v>311</v>
      </c>
    </row>
    <row r="177" spans="1:9" hidden="1">
      <c r="A177" t="s">
        <v>93</v>
      </c>
      <c r="B177">
        <v>30238</v>
      </c>
      <c r="C177" t="s">
        <v>294</v>
      </c>
      <c r="D177" t="s">
        <v>297</v>
      </c>
      <c r="F177" t="s">
        <v>220</v>
      </c>
      <c r="G177">
        <v>1</v>
      </c>
      <c r="H177">
        <v>0.30132536123567516</v>
      </c>
      <c r="I177" t="s">
        <v>311</v>
      </c>
    </row>
    <row r="178" spans="1:9" hidden="1">
      <c r="A178" t="s">
        <v>120</v>
      </c>
      <c r="B178">
        <v>30238</v>
      </c>
      <c r="C178" t="s">
        <v>294</v>
      </c>
      <c r="D178" t="s">
        <v>297</v>
      </c>
      <c r="F178" t="s">
        <v>220</v>
      </c>
      <c r="G178">
        <v>1</v>
      </c>
      <c r="H178">
        <v>0.30132536123567516</v>
      </c>
      <c r="I178" t="s">
        <v>311</v>
      </c>
    </row>
    <row r="179" spans="1:9" hidden="1">
      <c r="A179" t="s">
        <v>132</v>
      </c>
      <c r="B179">
        <v>69</v>
      </c>
      <c r="C179" t="s">
        <v>232</v>
      </c>
      <c r="D179" t="s">
        <v>236</v>
      </c>
      <c r="E179" t="s">
        <v>280</v>
      </c>
      <c r="F179" t="s">
        <v>220</v>
      </c>
      <c r="G179">
        <v>10</v>
      </c>
      <c r="H179">
        <v>11.5</v>
      </c>
      <c r="I179" t="s">
        <v>302</v>
      </c>
    </row>
    <row r="180" spans="1:9" hidden="1">
      <c r="B180" s="10">
        <v>44</v>
      </c>
      <c r="C180" t="s">
        <v>232</v>
      </c>
      <c r="D180" t="s">
        <v>233</v>
      </c>
      <c r="E180" t="s">
        <v>362</v>
      </c>
      <c r="F180" t="s">
        <v>363</v>
      </c>
      <c r="G180">
        <v>10</v>
      </c>
      <c r="H180">
        <f>(B180/60)*G180</f>
        <v>7.333333333333333</v>
      </c>
    </row>
  </sheetData>
  <autoFilter ref="A1:I180" xr:uid="{B882C225-1CDC-45D5-8EC5-388B27B72DED}">
    <filterColumn colId="0">
      <filters>
        <filter val="Clerical Worker"/>
        <filter val="Technician - Admin &amp; Clerical"/>
      </filters>
    </filterColumn>
    <sortState xmlns:xlrd2="http://schemas.microsoft.com/office/spreadsheetml/2017/richdata2" ref="A2:I180">
      <sortCondition ref="A1:A180"/>
    </sortState>
  </autoFilter>
  <conditionalFormatting sqref="A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7719-78DA-445D-B0EA-F09CBDBF1B47}">
  <dimension ref="A1:H179"/>
  <sheetViews>
    <sheetView topLeftCell="A94" workbookViewId="0">
      <selection activeCell="B180" sqref="B180"/>
    </sheetView>
  </sheetViews>
  <sheetFormatPr defaultRowHeight="14.4"/>
  <cols>
    <col min="1" max="1" width="48" style="18" bestFit="1" customWidth="1"/>
    <col min="2" max="2" width="27.77734375" style="18" bestFit="1" customWidth="1"/>
    <col min="3" max="3" width="27.21875" style="18" bestFit="1" customWidth="1"/>
    <col min="4" max="4" width="21.5546875" style="21" bestFit="1" customWidth="1"/>
    <col min="5" max="5" width="59.33203125" style="21" bestFit="1" customWidth="1"/>
    <col min="6" max="6" width="29.6640625" style="21" bestFit="1" customWidth="1"/>
    <col min="7" max="7" width="29" style="21" bestFit="1" customWidth="1"/>
  </cols>
  <sheetData>
    <row r="1" spans="1:8">
      <c r="A1" s="20" t="s">
        <v>305</v>
      </c>
      <c r="B1" s="19" t="s">
        <v>345</v>
      </c>
      <c r="C1" s="19" t="s">
        <v>346</v>
      </c>
      <c r="D1" s="23" t="s">
        <v>158</v>
      </c>
      <c r="E1" s="23" t="s">
        <v>159</v>
      </c>
      <c r="F1" s="22" t="s">
        <v>342</v>
      </c>
      <c r="G1" s="22" t="s">
        <v>347</v>
      </c>
      <c r="H1" t="s">
        <v>358</v>
      </c>
    </row>
    <row r="2" spans="1:8">
      <c r="A2" s="18" t="s">
        <v>27</v>
      </c>
      <c r="B2" s="18">
        <f>VLOOKUP(A2,omop_source!$A$2:$H$179,8,FALSE)</f>
        <v>9.0542102640757349</v>
      </c>
      <c r="C2" s="18" t="str">
        <f>VLOOKUP(A2,omop_source!$A$2:$H$179,6,FALSE)</f>
        <v>Admin</v>
      </c>
      <c r="D2" s="21">
        <v>38003781</v>
      </c>
      <c r="E2" s="21" t="s">
        <v>164</v>
      </c>
      <c r="F2" s="21">
        <f>VLOOKUP(D2,omop_standard!$A$2:$I$38,9,FALSE)</f>
        <v>6.2210264075734933</v>
      </c>
      <c r="G2" s="21" t="str">
        <f>VLOOKUP(D2,omop_standard!$A$2:$I$38,7,FALSE)</f>
        <v>Admin</v>
      </c>
      <c r="H2">
        <f>B2-F2</f>
        <v>2.8331838565022416</v>
      </c>
    </row>
    <row r="3" spans="1:8">
      <c r="A3" s="18" t="s">
        <v>4</v>
      </c>
      <c r="B3" s="18">
        <f>VLOOKUP(A3,omop_source!$A$2:$H$179,8,FALSE)</f>
        <v>6.2210264075734933</v>
      </c>
      <c r="C3" s="18" t="str">
        <f>VLOOKUP(A3,omop_source!$A$2:$H$179,6,FALSE)</f>
        <v>Admin</v>
      </c>
      <c r="D3" s="21">
        <v>38003781</v>
      </c>
      <c r="E3" s="21" t="s">
        <v>164</v>
      </c>
      <c r="F3" s="21">
        <f>VLOOKUP(D3,omop_standard!$A$2:$I$38,9,FALSE)</f>
        <v>6.2210264075734933</v>
      </c>
      <c r="G3" s="21" t="str">
        <f>VLOOKUP(D3,omop_standard!$A$2:$I$38,7,FALSE)</f>
        <v>Admin</v>
      </c>
      <c r="H3">
        <f t="shared" ref="H3:H66" si="0">B3-F3</f>
        <v>0</v>
      </c>
    </row>
    <row r="4" spans="1:8">
      <c r="A4" s="18" t="s">
        <v>12</v>
      </c>
      <c r="B4" s="18">
        <f>VLOOKUP(A4,omop_source!$A$2:$H$179,8,FALSE)</f>
        <v>3.0132536123567517</v>
      </c>
      <c r="C4" s="18" t="str">
        <f>VLOOKUP(A4,omop_source!$A$2:$H$179,6,FALSE)</f>
        <v>Admin</v>
      </c>
      <c r="D4" s="21">
        <v>38003789</v>
      </c>
      <c r="E4" s="21" t="s">
        <v>169</v>
      </c>
      <c r="F4" s="21">
        <f>VLOOKUP(D4,omop_standard!$A$2:$I$38,9,FALSE)</f>
        <v>3.1105132037867467</v>
      </c>
      <c r="G4" s="21" t="str">
        <f>VLOOKUP(D4,omop_standard!$A$2:$I$38,7,FALSE)</f>
        <v>Service</v>
      </c>
      <c r="H4">
        <f t="shared" si="0"/>
        <v>-9.7259591429994963E-2</v>
      </c>
    </row>
    <row r="5" spans="1:8">
      <c r="A5" s="18" t="s">
        <v>77</v>
      </c>
      <c r="B5" s="18">
        <f>VLOOKUP(A5,omop_source!$A$2:$H$179,8,FALSE)</f>
        <v>1.5066268061783759</v>
      </c>
      <c r="C5" s="18" t="str">
        <f>VLOOKUP(A5,omop_source!$A$2:$H$179,6,FALSE)</f>
        <v>Admin</v>
      </c>
      <c r="D5" s="21">
        <v>38004169</v>
      </c>
      <c r="E5" s="21" t="s">
        <v>172</v>
      </c>
      <c r="F5" s="21">
        <f>VLOOKUP(D5,omop_standard!$A$2:$I$38,9,FALSE)</f>
        <v>1.5066268061783759</v>
      </c>
      <c r="G5" s="21" t="str">
        <f>VLOOKUP(D5,omop_standard!$A$2:$I$38,7,FALSE)</f>
        <v>Admin</v>
      </c>
      <c r="H5">
        <f t="shared" si="0"/>
        <v>0</v>
      </c>
    </row>
    <row r="6" spans="1:8">
      <c r="A6" s="18" t="s">
        <v>14</v>
      </c>
      <c r="B6" s="18">
        <f>VLOOKUP(A6,omop_source!$A$2:$H$179,8,FALSE)</f>
        <v>0.30132536123567516</v>
      </c>
      <c r="C6" s="18" t="str">
        <f>VLOOKUP(A6,omop_source!$A$2:$H$179,6,FALSE)</f>
        <v>Admin</v>
      </c>
      <c r="D6" s="21">
        <v>38004169</v>
      </c>
      <c r="E6" s="21" t="s">
        <v>172</v>
      </c>
      <c r="F6" s="21">
        <f>VLOOKUP(D6,omop_standard!$A$2:$I$38,9,FALSE)</f>
        <v>1.5066268061783759</v>
      </c>
      <c r="G6" s="21" t="str">
        <f>VLOOKUP(D6,omop_standard!$A$2:$I$38,7,FALSE)</f>
        <v>Admin</v>
      </c>
      <c r="H6">
        <f t="shared" si="0"/>
        <v>-1.2053014449427006</v>
      </c>
    </row>
    <row r="7" spans="1:8">
      <c r="A7" s="18" t="s">
        <v>191</v>
      </c>
      <c r="B7" s="18">
        <f>VLOOKUP(A7,omop_source!$A$2:$H$179,8,FALSE)</f>
        <v>0.35506726457399101</v>
      </c>
      <c r="C7" s="18" t="str">
        <f>VLOOKUP(A7,omop_source!$A$2:$H$179,6,FALSE)</f>
        <v>Admin</v>
      </c>
      <c r="D7" s="21">
        <v>38003648</v>
      </c>
      <c r="E7" s="21" t="s">
        <v>190</v>
      </c>
      <c r="F7" s="21">
        <f>VLOOKUP(D7,omop_standard!$A$2:$I$38,9,FALSE)</f>
        <v>22.666666666666664</v>
      </c>
      <c r="G7" s="21" t="str">
        <f>VLOOKUP(D7,omop_standard!$A$2:$I$38,7,FALSE)</f>
        <v>Non-registered other</v>
      </c>
      <c r="H7">
        <f t="shared" si="0"/>
        <v>-22.311599402092675</v>
      </c>
    </row>
    <row r="8" spans="1:8">
      <c r="A8" s="18" t="s">
        <v>15</v>
      </c>
      <c r="B8" s="18">
        <f>VLOOKUP(A8,omop_source!$A$2:$H$179,8,FALSE)</f>
        <v>9.0542102640757349</v>
      </c>
      <c r="C8" s="18" t="str">
        <f>VLOOKUP(A8,omop_source!$A$2:$H$179,6,FALSE)</f>
        <v>Admin</v>
      </c>
      <c r="D8" s="21">
        <v>38004185</v>
      </c>
      <c r="E8" s="21" t="s">
        <v>162</v>
      </c>
      <c r="F8" s="21">
        <f>VLOOKUP(D8,omop_standard!$A$2:$I$38,9,FALSE)</f>
        <v>1.5066268061783759</v>
      </c>
      <c r="G8" s="21" t="str">
        <f>VLOOKUP(D8,omop_standard!$A$2:$I$38,7,FALSE)</f>
        <v>Admin</v>
      </c>
      <c r="H8">
        <f t="shared" si="0"/>
        <v>7.5475834578973586</v>
      </c>
    </row>
    <row r="9" spans="1:8">
      <c r="A9" s="18" t="s">
        <v>41</v>
      </c>
      <c r="B9" s="18">
        <f>VLOOKUP(A9,omop_source!$A$2:$H$179,8,FALSE)</f>
        <v>0.30132536123567516</v>
      </c>
      <c r="C9" s="18" t="str">
        <f>VLOOKUP(A9,omop_source!$A$2:$H$179,6,FALSE)</f>
        <v>Admin</v>
      </c>
      <c r="D9" s="21">
        <v>38004185</v>
      </c>
      <c r="E9" s="21" t="s">
        <v>162</v>
      </c>
      <c r="F9" s="21">
        <f>VLOOKUP(D9,omop_standard!$A$2:$I$38,9,FALSE)</f>
        <v>1.5066268061783759</v>
      </c>
      <c r="G9" s="21" t="str">
        <f>VLOOKUP(D9,omop_standard!$A$2:$I$38,7,FALSE)</f>
        <v>Admin</v>
      </c>
      <c r="H9">
        <f t="shared" si="0"/>
        <v>-1.2053014449427006</v>
      </c>
    </row>
    <row r="10" spans="1:8">
      <c r="A10" s="18" t="s">
        <v>19</v>
      </c>
      <c r="B10" s="18">
        <f>VLOOKUP(A10,omop_source!$A$2:$H$179,8,FALSE)</f>
        <v>3.0132536123567517</v>
      </c>
      <c r="C10" s="18" t="str">
        <f>VLOOKUP(A10,omop_source!$A$2:$H$179,6,FALSE)</f>
        <v>Admin</v>
      </c>
      <c r="D10" s="21">
        <v>38004185</v>
      </c>
      <c r="E10" s="21" t="s">
        <v>162</v>
      </c>
      <c r="F10" s="21">
        <f>VLOOKUP(D10,omop_standard!$A$2:$I$38,9,FALSE)</f>
        <v>1.5066268061783759</v>
      </c>
      <c r="G10" s="21" t="str">
        <f>VLOOKUP(D10,omop_standard!$A$2:$I$38,7,FALSE)</f>
        <v>Admin</v>
      </c>
      <c r="H10">
        <f t="shared" si="0"/>
        <v>1.5066268061783759</v>
      </c>
    </row>
    <row r="11" spans="1:8">
      <c r="A11" s="18" t="s">
        <v>3</v>
      </c>
      <c r="B11" s="18">
        <f>VLOOKUP(A11,omop_source!$A$2:$H$179,8,FALSE)</f>
        <v>0.60265072247135032</v>
      </c>
      <c r="C11" s="18" t="str">
        <f>VLOOKUP(A11,omop_source!$A$2:$H$179,6,FALSE)</f>
        <v>Admin</v>
      </c>
      <c r="D11" s="21">
        <v>38004185</v>
      </c>
      <c r="E11" s="21" t="s">
        <v>162</v>
      </c>
      <c r="F11" s="21">
        <f>VLOOKUP(D11,omop_standard!$A$2:$I$38,9,FALSE)</f>
        <v>1.5066268061783759</v>
      </c>
      <c r="G11" s="21" t="str">
        <f>VLOOKUP(D11,omop_standard!$A$2:$I$38,7,FALSE)</f>
        <v>Admin</v>
      </c>
      <c r="H11">
        <f t="shared" si="0"/>
        <v>-0.90397608370702554</v>
      </c>
    </row>
    <row r="12" spans="1:8">
      <c r="A12" s="18" t="s">
        <v>38</v>
      </c>
      <c r="B12" s="18">
        <f>VLOOKUP(A12,omop_source!$A$2:$H$179,8,FALSE)</f>
        <v>0.30132536123567516</v>
      </c>
      <c r="C12" s="18" t="str">
        <f>VLOOKUP(A12,omop_source!$A$2:$H$179,6,FALSE)</f>
        <v>Admin</v>
      </c>
      <c r="D12" s="21">
        <v>38004185</v>
      </c>
      <c r="E12" s="21" t="s">
        <v>162</v>
      </c>
      <c r="F12" s="21">
        <f>VLOOKUP(D12,omop_standard!$A$2:$I$38,9,FALSE)</f>
        <v>1.5066268061783759</v>
      </c>
      <c r="G12" s="21" t="str">
        <f>VLOOKUP(D12,omop_standard!$A$2:$I$38,7,FALSE)</f>
        <v>Admin</v>
      </c>
      <c r="H12">
        <f t="shared" si="0"/>
        <v>-1.2053014449427006</v>
      </c>
    </row>
    <row r="13" spans="1:8">
      <c r="A13" s="18" t="s">
        <v>28</v>
      </c>
      <c r="B13" s="18">
        <f>VLOOKUP(A13,omop_source!$A$2:$H$179,8,FALSE)</f>
        <v>0.30132536123567516</v>
      </c>
      <c r="C13" s="18" t="str">
        <f>VLOOKUP(A13,omop_source!$A$2:$H$179,6,FALSE)</f>
        <v>Admin</v>
      </c>
      <c r="D13" s="21">
        <v>38004153</v>
      </c>
      <c r="E13" s="21" t="s">
        <v>176</v>
      </c>
      <c r="F13" s="21">
        <f>VLOOKUP(D13,omop_standard!$A$2:$I$38,9,FALSE)</f>
        <v>0.30132536123567516</v>
      </c>
      <c r="G13" s="21" t="str">
        <f>VLOOKUP(D13,omop_standard!$A$2:$I$38,7,FALSE)</f>
        <v>Admin</v>
      </c>
      <c r="H13">
        <f t="shared" si="0"/>
        <v>0</v>
      </c>
    </row>
    <row r="14" spans="1:8">
      <c r="A14" s="18" t="s">
        <v>48</v>
      </c>
      <c r="B14" s="18">
        <f>VLOOKUP(A14,omop_source!$A$2:$H$179,8,FALSE)</f>
        <v>3.0132536123567517</v>
      </c>
      <c r="C14" s="18" t="str">
        <f>VLOOKUP(A14,omop_source!$A$2:$H$179,6,FALSE)</f>
        <v>Admin</v>
      </c>
      <c r="D14" s="21">
        <v>38004154</v>
      </c>
      <c r="E14" s="21" t="s">
        <v>163</v>
      </c>
      <c r="F14" s="21">
        <f>VLOOKUP(D14,omop_standard!$A$2:$I$38,9,FALSE)</f>
        <v>3.0132536123567517</v>
      </c>
      <c r="G14" s="21" t="str">
        <f>VLOOKUP(D14,omop_standard!$A$2:$I$38,7,FALSE)</f>
        <v>Admin</v>
      </c>
      <c r="H14">
        <f t="shared" si="0"/>
        <v>0</v>
      </c>
    </row>
    <row r="15" spans="1:8">
      <c r="A15" s="18" t="s">
        <v>18</v>
      </c>
      <c r="B15" s="18">
        <f>VLOOKUP(A15,omop_source!$A$2:$H$179,8,FALSE)</f>
        <v>3.0132536123567517</v>
      </c>
      <c r="C15" s="18" t="str">
        <f>VLOOKUP(A15,omop_source!$A$2:$H$179,6,FALSE)</f>
        <v>Admin</v>
      </c>
      <c r="D15" s="21">
        <v>38004154</v>
      </c>
      <c r="E15" s="21" t="s">
        <v>163</v>
      </c>
      <c r="F15" s="21">
        <f>VLOOKUP(D15,omop_standard!$A$2:$I$38,9,FALSE)</f>
        <v>3.0132536123567517</v>
      </c>
      <c r="G15" s="21" t="str">
        <f>VLOOKUP(D15,omop_standard!$A$2:$I$38,7,FALSE)</f>
        <v>Admin</v>
      </c>
      <c r="H15">
        <f t="shared" si="0"/>
        <v>0</v>
      </c>
    </row>
    <row r="16" spans="1:8">
      <c r="A16" s="18" t="s">
        <v>8</v>
      </c>
      <c r="B16" s="18">
        <f>VLOOKUP(A16,omop_source!$A$2:$H$179,8,FALSE)</f>
        <v>3.0132536123567517</v>
      </c>
      <c r="C16" s="18" t="str">
        <f>VLOOKUP(A16,omop_source!$A$2:$H$179,6,FALSE)</f>
        <v>Admin</v>
      </c>
      <c r="D16" s="21">
        <v>38004154</v>
      </c>
      <c r="E16" s="21" t="s">
        <v>163</v>
      </c>
      <c r="F16" s="21">
        <f>VLOOKUP(D16,omop_standard!$A$2:$I$38,9,FALSE)</f>
        <v>3.0132536123567517</v>
      </c>
      <c r="G16" s="21" t="str">
        <f>VLOOKUP(D16,omop_standard!$A$2:$I$38,7,FALSE)</f>
        <v>Admin</v>
      </c>
      <c r="H16">
        <f t="shared" si="0"/>
        <v>0</v>
      </c>
    </row>
    <row r="17" spans="1:8">
      <c r="A17" s="18" t="s">
        <v>39</v>
      </c>
      <c r="B17" s="18">
        <f>VLOOKUP(A17,omop_source!$A$2:$H$179,8,FALSE)</f>
        <v>0.30132536123567516</v>
      </c>
      <c r="C17" s="18" t="str">
        <f>VLOOKUP(A17,omop_source!$A$2:$H$179,6,FALSE)</f>
        <v>Admin</v>
      </c>
      <c r="D17" s="21">
        <v>38004154</v>
      </c>
      <c r="E17" s="21" t="s">
        <v>163</v>
      </c>
      <c r="F17" s="21">
        <f>VLOOKUP(D17,omop_standard!$A$2:$I$38,9,FALSE)</f>
        <v>3.0132536123567517</v>
      </c>
      <c r="G17" s="21" t="str">
        <f>VLOOKUP(D17,omop_standard!$A$2:$I$38,7,FALSE)</f>
        <v>Admin</v>
      </c>
      <c r="H17">
        <f t="shared" si="0"/>
        <v>-2.7119282511210767</v>
      </c>
    </row>
    <row r="18" spans="1:8">
      <c r="A18" s="18" t="s">
        <v>9</v>
      </c>
      <c r="B18" s="18">
        <f>VLOOKUP(A18,omop_source!$A$2:$H$179,8,FALSE)</f>
        <v>0.30132536123567516</v>
      </c>
      <c r="C18" s="18" t="str">
        <f>VLOOKUP(A18,omop_source!$A$2:$H$179,6,FALSE)</f>
        <v>Admin</v>
      </c>
      <c r="D18" s="21">
        <v>38004154</v>
      </c>
      <c r="E18" s="21" t="s">
        <v>163</v>
      </c>
      <c r="F18" s="21">
        <f>VLOOKUP(D18,omop_standard!$A$2:$I$38,9,FALSE)</f>
        <v>3.0132536123567517</v>
      </c>
      <c r="G18" s="21" t="str">
        <f>VLOOKUP(D18,omop_standard!$A$2:$I$38,7,FALSE)</f>
        <v>Admin</v>
      </c>
      <c r="H18">
        <f t="shared" si="0"/>
        <v>-2.7119282511210767</v>
      </c>
    </row>
    <row r="19" spans="1:8">
      <c r="A19" s="18" t="s">
        <v>321</v>
      </c>
      <c r="B19" s="18">
        <f>VLOOKUP(A19,omop_source!$A$2:$H$179,8,FALSE)</f>
        <v>0.30132536123567516</v>
      </c>
      <c r="C19" s="18" t="str">
        <f>VLOOKUP(A19,omop_source!$A$2:$H$179,6,FALSE)</f>
        <v>Admin</v>
      </c>
      <c r="D19" s="25"/>
      <c r="E19" s="25"/>
      <c r="F19" s="21">
        <f>VLOOKUP(D19,omop_standard!$A$2:$I$38,9,FALSE)</f>
        <v>7.333333333333333</v>
      </c>
      <c r="G19" s="21" t="s">
        <v>348</v>
      </c>
      <c r="H19">
        <f t="shared" si="0"/>
        <v>-7.0320079720976576</v>
      </c>
    </row>
    <row r="20" spans="1:8">
      <c r="A20" s="18" t="s">
        <v>42</v>
      </c>
      <c r="B20" s="18">
        <f>VLOOKUP(A20,omop_source!$A$2:$H$179,8,FALSE)</f>
        <v>0.30132536123567516</v>
      </c>
      <c r="C20" s="18" t="str">
        <f>VLOOKUP(A20,omop_source!$A$2:$H$179,6,FALSE)</f>
        <v>Admin</v>
      </c>
      <c r="D20" s="25"/>
      <c r="E20" s="25"/>
      <c r="F20" s="21">
        <f>VLOOKUP(D20,omop_standard!$A$2:$I$38,9,FALSE)</f>
        <v>7.333333333333333</v>
      </c>
      <c r="G20" s="21" t="s">
        <v>348</v>
      </c>
      <c r="H20">
        <f t="shared" si="0"/>
        <v>-7.0320079720976576</v>
      </c>
    </row>
    <row r="21" spans="1:8">
      <c r="A21" s="18" t="s">
        <v>98</v>
      </c>
      <c r="B21" s="18">
        <f>VLOOKUP(A21,omop_source!$A$2:$H$179,8,FALSE)</f>
        <v>9.33153961136024</v>
      </c>
      <c r="C21" s="18" t="str">
        <f>VLOOKUP(A21,omop_source!$A$2:$H$179,6,FALSE)</f>
        <v>Admin</v>
      </c>
      <c r="D21" s="25"/>
      <c r="E21" s="25"/>
      <c r="F21" s="21">
        <f>VLOOKUP(D21,omop_standard!$A$2:$I$38,9,FALSE)</f>
        <v>7.333333333333333</v>
      </c>
      <c r="G21" s="21" t="s">
        <v>348</v>
      </c>
      <c r="H21">
        <f t="shared" si="0"/>
        <v>1.998206278026907</v>
      </c>
    </row>
    <row r="22" spans="1:8">
      <c r="A22" s="18" t="s">
        <v>99</v>
      </c>
      <c r="B22" s="18">
        <f>VLOOKUP(A22,omop_source!$A$2:$H$179,8,FALSE)</f>
        <v>0.60265072247135032</v>
      </c>
      <c r="C22" s="18" t="str">
        <f>VLOOKUP(A22,omop_source!$A$2:$H$179,6,FALSE)</f>
        <v>Admin</v>
      </c>
      <c r="D22" s="25"/>
      <c r="E22" s="25"/>
      <c r="F22" s="21">
        <f>VLOOKUP(D22,omop_standard!$A$2:$I$38,9,FALSE)</f>
        <v>7.333333333333333</v>
      </c>
      <c r="G22" s="21" t="s">
        <v>348</v>
      </c>
      <c r="H22">
        <f t="shared" si="0"/>
        <v>-6.7306826108619831</v>
      </c>
    </row>
    <row r="23" spans="1:8">
      <c r="A23" s="18" t="s">
        <v>132</v>
      </c>
      <c r="B23" s="18">
        <f>VLOOKUP(A23,omop_source!$A$2:$H$179,8,FALSE)</f>
        <v>11.5</v>
      </c>
      <c r="C23" s="18" t="str">
        <f>VLOOKUP(A23,omop_source!$A$2:$H$179,6,FALSE)</f>
        <v>Admin</v>
      </c>
      <c r="D23" s="25"/>
      <c r="E23" s="25"/>
      <c r="F23" s="21">
        <f>VLOOKUP(D23,omop_standard!$A$2:$I$38,9,FALSE)</f>
        <v>7.333333333333333</v>
      </c>
      <c r="G23" s="21" t="s">
        <v>348</v>
      </c>
      <c r="H23">
        <f t="shared" si="0"/>
        <v>4.166666666666667</v>
      </c>
    </row>
    <row r="24" spans="1:8">
      <c r="A24" s="18" t="s">
        <v>147</v>
      </c>
      <c r="B24" s="18">
        <f>VLOOKUP(A24,omop_source!$A$2:$H$179,8,FALSE)</f>
        <v>0.30132536123567516</v>
      </c>
      <c r="C24" s="18" t="str">
        <f>VLOOKUP(A24,omop_source!$A$2:$H$179,6,FALSE)</f>
        <v>Admin</v>
      </c>
      <c r="D24" s="25"/>
      <c r="E24" s="25"/>
      <c r="F24" s="21">
        <f>VLOOKUP(D24,omop_standard!$A$2:$I$38,9,FALSE)</f>
        <v>7.333333333333333</v>
      </c>
      <c r="G24" s="21" t="s">
        <v>348</v>
      </c>
      <c r="H24">
        <f t="shared" si="0"/>
        <v>-7.0320079720976576</v>
      </c>
    </row>
    <row r="25" spans="1:8">
      <c r="A25" s="18" t="s">
        <v>56</v>
      </c>
      <c r="B25" s="18">
        <f>VLOOKUP(A25,omop_source!$A$2:$H$179,8,FALSE)</f>
        <v>0.30132536123567516</v>
      </c>
      <c r="C25" s="18" t="str">
        <f>VLOOKUP(A25,omop_source!$A$2:$H$179,6,FALSE)</f>
        <v>Admin</v>
      </c>
      <c r="D25" s="25"/>
      <c r="E25" s="25"/>
      <c r="F25" s="21">
        <f>VLOOKUP(D25,omop_standard!$A$2:$I$38,9,FALSE)</f>
        <v>7.333333333333333</v>
      </c>
      <c r="G25" s="21" t="s">
        <v>348</v>
      </c>
      <c r="H25">
        <f t="shared" si="0"/>
        <v>-7.0320079720976576</v>
      </c>
    </row>
    <row r="26" spans="1:8">
      <c r="A26" s="18" t="s">
        <v>35</v>
      </c>
      <c r="B26" s="18">
        <f>VLOOKUP(A26,omop_source!$A$2:$H$179,8,FALSE)</f>
        <v>0.30132536123567516</v>
      </c>
      <c r="C26" s="18" t="str">
        <f>VLOOKUP(A26,omop_source!$A$2:$H$179,6,FALSE)</f>
        <v>Admin</v>
      </c>
      <c r="D26" s="25"/>
      <c r="E26" s="25"/>
      <c r="F26" s="21">
        <f>VLOOKUP(D26,omop_standard!$A$2:$I$38,9,FALSE)</f>
        <v>7.333333333333333</v>
      </c>
      <c r="G26" s="21" t="s">
        <v>348</v>
      </c>
      <c r="H26">
        <f t="shared" si="0"/>
        <v>-7.0320079720976576</v>
      </c>
    </row>
    <row r="27" spans="1:8">
      <c r="A27" s="18" t="s">
        <v>50</v>
      </c>
      <c r="B27" s="18">
        <f>VLOOKUP(A27,omop_source!$A$2:$H$179,8,FALSE)</f>
        <v>3.0132536123567517</v>
      </c>
      <c r="C27" s="18" t="str">
        <f>VLOOKUP(A27,omop_source!$A$2:$H$179,6,FALSE)</f>
        <v>Admin</v>
      </c>
      <c r="D27" s="25"/>
      <c r="E27" s="25"/>
      <c r="F27" s="21">
        <f>VLOOKUP(D27,omop_standard!$A$2:$I$38,9,FALSE)</f>
        <v>7.333333333333333</v>
      </c>
      <c r="G27" s="21" t="s">
        <v>348</v>
      </c>
      <c r="H27">
        <f t="shared" si="0"/>
        <v>-4.3200797209765813</v>
      </c>
    </row>
    <row r="28" spans="1:8">
      <c r="A28" s="18" t="s">
        <v>96</v>
      </c>
      <c r="B28" s="18">
        <f>VLOOKUP(A28,omop_source!$A$2:$H$179,8,FALSE)</f>
        <v>6.2210264075734933</v>
      </c>
      <c r="C28" s="18" t="str">
        <f>VLOOKUP(A28,omop_source!$A$2:$H$179,6,FALSE)</f>
        <v>Admin</v>
      </c>
      <c r="D28" s="25"/>
      <c r="E28" s="25"/>
      <c r="F28" s="21">
        <f>VLOOKUP(D28,omop_standard!$A$2:$I$38,9,FALSE)</f>
        <v>7.333333333333333</v>
      </c>
      <c r="G28" s="21" t="s">
        <v>348</v>
      </c>
      <c r="H28">
        <f t="shared" si="0"/>
        <v>-1.1123069257598397</v>
      </c>
    </row>
    <row r="29" spans="1:8">
      <c r="A29" s="18" t="s">
        <v>45</v>
      </c>
      <c r="B29" s="18">
        <f>VLOOKUP(A29,omop_source!$A$2:$H$179,8,FALSE)</f>
        <v>0.30132536123567516</v>
      </c>
      <c r="C29" s="18" t="str">
        <f>VLOOKUP(A29,omop_source!$A$2:$H$179,6,FALSE)</f>
        <v>Admin</v>
      </c>
      <c r="D29" s="25"/>
      <c r="E29" s="25"/>
      <c r="F29" s="21">
        <f>VLOOKUP(D29,omop_standard!$A$2:$I$38,9,FALSE)</f>
        <v>7.333333333333333</v>
      </c>
      <c r="G29" s="21" t="s">
        <v>348</v>
      </c>
      <c r="H29">
        <f t="shared" si="0"/>
        <v>-7.0320079720976576</v>
      </c>
    </row>
    <row r="30" spans="1:8">
      <c r="A30" s="18" t="s">
        <v>64</v>
      </c>
      <c r="B30" s="18">
        <f>VLOOKUP(A30,omop_source!$A$2:$H$179,8,FALSE)</f>
        <v>0.30132536123567516</v>
      </c>
      <c r="C30" s="18" t="str">
        <f>VLOOKUP(A30,omop_source!$A$2:$H$179,6,FALSE)</f>
        <v>Admin</v>
      </c>
      <c r="D30" s="25"/>
      <c r="E30" s="25"/>
      <c r="F30" s="21">
        <f>VLOOKUP(D30,omop_standard!$A$2:$I$38,9,FALSE)</f>
        <v>7.333333333333333</v>
      </c>
      <c r="G30" s="21" t="s">
        <v>348</v>
      </c>
      <c r="H30">
        <f t="shared" si="0"/>
        <v>-7.0320079720976576</v>
      </c>
    </row>
    <row r="31" spans="1:8">
      <c r="A31" s="18" t="s">
        <v>46</v>
      </c>
      <c r="B31" s="18">
        <f>VLOOKUP(A31,omop_source!$A$2:$H$179,8,FALSE)</f>
        <v>0.30132536123567516</v>
      </c>
      <c r="C31" s="18" t="str">
        <f>VLOOKUP(A31,omop_source!$A$2:$H$179,6,FALSE)</f>
        <v>Admin</v>
      </c>
      <c r="D31" s="25"/>
      <c r="E31" s="25"/>
      <c r="F31" s="21">
        <f>VLOOKUP(D31,omop_standard!$A$2:$I$38,9,FALSE)</f>
        <v>7.333333333333333</v>
      </c>
      <c r="G31" s="21" t="s">
        <v>348</v>
      </c>
      <c r="H31">
        <f t="shared" si="0"/>
        <v>-7.0320079720976576</v>
      </c>
    </row>
    <row r="32" spans="1:8">
      <c r="A32" s="18" t="s">
        <v>36</v>
      </c>
      <c r="B32" s="18">
        <f>VLOOKUP(A32,omop_source!$A$2:$H$179,8,FALSE)</f>
        <v>0.30132536123567516</v>
      </c>
      <c r="C32" s="18" t="str">
        <f>VLOOKUP(A32,omop_source!$A$2:$H$179,6,FALSE)</f>
        <v>Admin</v>
      </c>
      <c r="D32" s="25"/>
      <c r="E32" s="25"/>
      <c r="F32" s="21">
        <f>VLOOKUP(D32,omop_standard!$A$2:$I$38,9,FALSE)</f>
        <v>7.333333333333333</v>
      </c>
      <c r="G32" s="21" t="s">
        <v>348</v>
      </c>
      <c r="H32">
        <f t="shared" si="0"/>
        <v>-7.0320079720976576</v>
      </c>
    </row>
    <row r="33" spans="1:8">
      <c r="A33" s="18" t="s">
        <v>60</v>
      </c>
      <c r="B33" s="18">
        <f>VLOOKUP(A33,omop_source!$A$2:$H$179,8,FALSE)</f>
        <v>0.30132536123567516</v>
      </c>
      <c r="C33" s="18" t="str">
        <f>VLOOKUP(A33,omop_source!$A$2:$H$179,6,FALSE)</f>
        <v>Admin</v>
      </c>
      <c r="D33" s="25"/>
      <c r="E33" s="25"/>
      <c r="F33" s="21">
        <f>VLOOKUP(D33,omop_standard!$A$2:$I$38,9,FALSE)</f>
        <v>7.333333333333333</v>
      </c>
      <c r="G33" s="21" t="s">
        <v>348</v>
      </c>
      <c r="H33">
        <f t="shared" si="0"/>
        <v>-7.0320079720976576</v>
      </c>
    </row>
    <row r="34" spans="1:8">
      <c r="A34" s="18" t="s">
        <v>125</v>
      </c>
      <c r="B34" s="18">
        <f>VLOOKUP(A34,omop_source!$A$2:$H$179,8,FALSE)</f>
        <v>0.62210264075734933</v>
      </c>
      <c r="C34" s="18" t="str">
        <f>VLOOKUP(A34,omop_source!$A$2:$H$179,6,FALSE)</f>
        <v>Admin</v>
      </c>
      <c r="D34" s="25"/>
      <c r="E34" s="25"/>
      <c r="F34" s="21">
        <f>VLOOKUP(D34,omop_standard!$A$2:$I$38,9,FALSE)</f>
        <v>7.333333333333333</v>
      </c>
      <c r="G34" s="21" t="s">
        <v>348</v>
      </c>
      <c r="H34">
        <f t="shared" si="0"/>
        <v>-6.7112306925759837</v>
      </c>
    </row>
    <row r="35" spans="1:8">
      <c r="A35" s="18" t="s">
        <v>104</v>
      </c>
      <c r="B35" s="18">
        <f>VLOOKUP(A35,omop_source!$A$2:$H$179,8,FALSE)</f>
        <v>9.33153961136024</v>
      </c>
      <c r="C35" s="18" t="str">
        <f>VLOOKUP(A35,omop_source!$A$2:$H$179,6,FALSE)</f>
        <v>Admin</v>
      </c>
      <c r="D35" s="25"/>
      <c r="E35" s="25"/>
      <c r="F35" s="21">
        <f>VLOOKUP(D35,omop_standard!$A$2:$I$38,9,FALSE)</f>
        <v>7.333333333333333</v>
      </c>
      <c r="G35" s="21" t="s">
        <v>348</v>
      </c>
      <c r="H35">
        <f t="shared" si="0"/>
        <v>1.998206278026907</v>
      </c>
    </row>
    <row r="36" spans="1:8">
      <c r="A36" s="18" t="s">
        <v>87</v>
      </c>
      <c r="B36" s="18">
        <f>VLOOKUP(A36,omop_source!$A$2:$H$179,8,FALSE)</f>
        <v>0.90542102640757349</v>
      </c>
      <c r="C36" s="18" t="str">
        <f>VLOOKUP(A36,omop_source!$A$2:$H$179,6,FALSE)</f>
        <v>Admin</v>
      </c>
      <c r="D36" s="25"/>
      <c r="E36" s="25"/>
      <c r="F36" s="21">
        <f>VLOOKUP(D36,omop_standard!$A$2:$I$38,9,FALSE)</f>
        <v>7.333333333333333</v>
      </c>
      <c r="G36" s="21" t="s">
        <v>348</v>
      </c>
      <c r="H36">
        <f t="shared" si="0"/>
        <v>-6.4279123069257595</v>
      </c>
    </row>
    <row r="37" spans="1:8">
      <c r="A37" s="18" t="s">
        <v>335</v>
      </c>
      <c r="B37" s="18">
        <f>VLOOKUP(A37,omop_source!$A$2:$H$179,8,FALSE)</f>
        <v>0.30132536123567516</v>
      </c>
      <c r="C37" s="18" t="str">
        <f>VLOOKUP(A37,omop_source!$A$2:$H$179,6,FALSE)</f>
        <v>Admin</v>
      </c>
      <c r="D37" s="25"/>
      <c r="E37" s="25"/>
      <c r="F37" s="21">
        <f>VLOOKUP(D37,omop_standard!$A$2:$I$38,9,FALSE)</f>
        <v>7.333333333333333</v>
      </c>
      <c r="G37" s="21" t="s">
        <v>348</v>
      </c>
      <c r="H37">
        <f t="shared" si="0"/>
        <v>-7.0320079720976576</v>
      </c>
    </row>
    <row r="38" spans="1:8">
      <c r="A38" s="18" t="s">
        <v>120</v>
      </c>
      <c r="B38" s="18">
        <f>VLOOKUP(A38,omop_source!$A$2:$H$179,8,FALSE)</f>
        <v>0.30132536123567516</v>
      </c>
      <c r="C38" s="18" t="str">
        <f>VLOOKUP(A38,omop_source!$A$2:$H$179,6,FALSE)</f>
        <v>Admin</v>
      </c>
      <c r="D38" s="25"/>
      <c r="E38" s="25"/>
      <c r="F38" s="21">
        <f>VLOOKUP(D38,omop_standard!$A$2:$I$38,9,FALSE)</f>
        <v>7.333333333333333</v>
      </c>
      <c r="G38" s="21" t="s">
        <v>348</v>
      </c>
      <c r="H38">
        <f t="shared" si="0"/>
        <v>-7.0320079720976576</v>
      </c>
    </row>
    <row r="39" spans="1:8">
      <c r="A39" s="18" t="s">
        <v>333</v>
      </c>
      <c r="B39" s="18">
        <f>VLOOKUP(A39,omop_source!$A$2:$H$179,8,FALSE)</f>
        <v>13.581315396113602</v>
      </c>
      <c r="C39" s="18" t="str">
        <f>VLOOKUP(A39,omop_source!$A$2:$H$179,6,FALSE)</f>
        <v>Admin</v>
      </c>
      <c r="D39" s="25"/>
      <c r="E39" s="25"/>
      <c r="F39" s="21">
        <f>VLOOKUP(D39,omop_standard!$A$2:$I$38,9,FALSE)</f>
        <v>7.333333333333333</v>
      </c>
      <c r="G39" s="21" t="s">
        <v>348</v>
      </c>
      <c r="H39">
        <f t="shared" si="0"/>
        <v>6.2479820627802694</v>
      </c>
    </row>
    <row r="40" spans="1:8">
      <c r="A40" s="18" t="s">
        <v>81</v>
      </c>
      <c r="B40" s="18">
        <f>VLOOKUP(A40,omop_source!$A$2:$H$179,8,FALSE)</f>
        <v>0.30132536123567516</v>
      </c>
      <c r="C40" s="18" t="str">
        <f>VLOOKUP(A40,omop_source!$A$2:$H$179,6,FALSE)</f>
        <v>Admin</v>
      </c>
      <c r="D40" s="25"/>
      <c r="E40" s="25"/>
      <c r="F40" s="21">
        <f>VLOOKUP(D40,omop_standard!$A$2:$I$38,9,FALSE)</f>
        <v>7.333333333333333</v>
      </c>
      <c r="G40" s="21" t="s">
        <v>348</v>
      </c>
      <c r="H40">
        <f t="shared" si="0"/>
        <v>-7.0320079720976576</v>
      </c>
    </row>
    <row r="41" spans="1:8">
      <c r="A41" s="18" t="s">
        <v>334</v>
      </c>
      <c r="B41" s="18">
        <f>VLOOKUP(A41,omop_source!$A$2:$H$179,8,FALSE)</f>
        <v>13.581315396113602</v>
      </c>
      <c r="C41" s="18" t="str">
        <f>VLOOKUP(A41,omop_source!$A$2:$H$179,6,FALSE)</f>
        <v>Admin</v>
      </c>
      <c r="D41" s="25"/>
      <c r="E41" s="25"/>
      <c r="F41" s="21">
        <f>VLOOKUP(D41,omop_standard!$A$2:$I$38,9,FALSE)</f>
        <v>7.333333333333333</v>
      </c>
      <c r="G41" s="21" t="s">
        <v>348</v>
      </c>
      <c r="H41">
        <f t="shared" si="0"/>
        <v>6.2479820627802694</v>
      </c>
    </row>
    <row r="42" spans="1:8">
      <c r="A42" s="18" t="s">
        <v>53</v>
      </c>
      <c r="B42" s="18">
        <f>VLOOKUP(A42,omop_source!$A$2:$H$179,8,FALSE)</f>
        <v>0.30132536123567516</v>
      </c>
      <c r="C42" s="18" t="str">
        <f>VLOOKUP(A42,omop_source!$A$2:$H$179,6,FALSE)</f>
        <v>Admin</v>
      </c>
      <c r="D42" s="25"/>
      <c r="E42" s="25"/>
      <c r="F42" s="21">
        <f>VLOOKUP(D42,omop_standard!$A$2:$I$38,9,FALSE)</f>
        <v>7.333333333333333</v>
      </c>
      <c r="G42" s="21" t="s">
        <v>348</v>
      </c>
      <c r="H42">
        <f t="shared" si="0"/>
        <v>-7.0320079720976576</v>
      </c>
    </row>
    <row r="43" spans="1:8">
      <c r="A43" s="18" t="s">
        <v>93</v>
      </c>
      <c r="B43" s="18">
        <f>VLOOKUP(A43,omop_source!$A$2:$H$179,8,FALSE)</f>
        <v>0.30132536123567516</v>
      </c>
      <c r="C43" s="18" t="str">
        <f>VLOOKUP(A43,omop_source!$A$2:$H$179,6,FALSE)</f>
        <v>Admin</v>
      </c>
      <c r="D43" s="25"/>
      <c r="E43" s="25"/>
      <c r="F43" s="21">
        <f>VLOOKUP(D43,omop_standard!$A$2:$I$38,9,FALSE)</f>
        <v>7.333333333333333</v>
      </c>
      <c r="G43" s="21" t="s">
        <v>348</v>
      </c>
      <c r="H43">
        <f t="shared" si="0"/>
        <v>-7.0320079720976576</v>
      </c>
    </row>
    <row r="44" spans="1:8">
      <c r="A44" s="18" t="s">
        <v>107</v>
      </c>
      <c r="B44" s="18">
        <f>VLOOKUP(A44,omop_source!$A$2:$H$179,8,FALSE)</f>
        <v>19.25</v>
      </c>
      <c r="C44" s="18" t="str">
        <f>VLOOKUP(A44,omop_source!$A$2:$H$179,6,FALSE)</f>
        <v>AHP</v>
      </c>
      <c r="D44" s="25"/>
      <c r="E44" s="25"/>
      <c r="F44" s="21">
        <f>VLOOKUP(D44,omop_standard!$A$2:$I$38,9,FALSE)</f>
        <v>7.333333333333333</v>
      </c>
      <c r="G44" s="21" t="s">
        <v>348</v>
      </c>
      <c r="H44">
        <f t="shared" si="0"/>
        <v>11.916666666666668</v>
      </c>
    </row>
    <row r="45" spans="1:8">
      <c r="A45" s="18" t="s">
        <v>78</v>
      </c>
      <c r="B45" s="18">
        <f>VLOOKUP(A45,omop_source!$A$2:$H$179,8,FALSE)</f>
        <v>14.666666666666666</v>
      </c>
      <c r="C45" s="18" t="str">
        <f>VLOOKUP(A45,omop_source!$A$2:$H$179,6,FALSE)</f>
        <v>AHP</v>
      </c>
      <c r="D45" s="25"/>
      <c r="E45" s="25"/>
      <c r="F45" s="21">
        <f>VLOOKUP(D45,omop_standard!$A$2:$I$38,9,FALSE)</f>
        <v>7.333333333333333</v>
      </c>
      <c r="G45" s="21" t="s">
        <v>348</v>
      </c>
      <c r="H45">
        <f t="shared" si="0"/>
        <v>7.333333333333333</v>
      </c>
    </row>
    <row r="46" spans="1:8">
      <c r="A46" s="18" t="s">
        <v>131</v>
      </c>
      <c r="B46" s="18">
        <f>VLOOKUP(A46,omop_source!$A$2:$H$179,8,FALSE)</f>
        <v>26.5</v>
      </c>
      <c r="C46" s="18" t="str">
        <f>VLOOKUP(A46,omop_source!$A$2:$H$179,6,FALSE)</f>
        <v>AHP</v>
      </c>
      <c r="D46" s="25"/>
      <c r="E46" s="25"/>
      <c r="F46" s="21">
        <f>VLOOKUP(D46,omop_standard!$A$2:$I$38,9,FALSE)</f>
        <v>7.333333333333333</v>
      </c>
      <c r="G46" s="21" t="s">
        <v>348</v>
      </c>
      <c r="H46">
        <f t="shared" si="0"/>
        <v>19.166666666666668</v>
      </c>
    </row>
    <row r="47" spans="1:8">
      <c r="A47" s="18" t="s">
        <v>121</v>
      </c>
      <c r="B47" s="18">
        <f>VLOOKUP(A47,omop_source!$A$2:$H$179,8,FALSE)</f>
        <v>19</v>
      </c>
      <c r="C47" s="18" t="str">
        <f>VLOOKUP(A47,omop_source!$A$2:$H$179,6,FALSE)</f>
        <v>AHP</v>
      </c>
      <c r="D47" s="25"/>
      <c r="E47" s="25"/>
      <c r="F47" s="21">
        <f>VLOOKUP(D47,omop_standard!$A$2:$I$38,9,FALSE)</f>
        <v>7.333333333333333</v>
      </c>
      <c r="G47" s="21" t="s">
        <v>348</v>
      </c>
      <c r="H47">
        <f t="shared" si="0"/>
        <v>11.666666666666668</v>
      </c>
    </row>
    <row r="48" spans="1:8">
      <c r="A48" s="18" t="s">
        <v>126</v>
      </c>
      <c r="B48" s="18">
        <f>VLOOKUP(A48,omop_source!$A$2:$H$179,8,FALSE)</f>
        <v>17</v>
      </c>
      <c r="C48" s="18" t="str">
        <f>VLOOKUP(A48,omop_source!$A$2:$H$179,6,FALSE)</f>
        <v>AHP</v>
      </c>
      <c r="D48" s="25"/>
      <c r="E48" s="25"/>
      <c r="F48" s="21">
        <f>VLOOKUP(D48,omop_standard!$A$2:$I$38,9,FALSE)</f>
        <v>7.333333333333333</v>
      </c>
      <c r="G48" s="21" t="s">
        <v>348</v>
      </c>
      <c r="H48">
        <f t="shared" si="0"/>
        <v>9.6666666666666679</v>
      </c>
    </row>
    <row r="49" spans="1:8">
      <c r="A49" s="18" t="s">
        <v>326</v>
      </c>
      <c r="B49" s="18">
        <f>VLOOKUP(A49,omop_source!$A$2:$H$179,8,FALSE)</f>
        <v>19</v>
      </c>
      <c r="C49" s="18" t="str">
        <f>VLOOKUP(A49,omop_source!$A$2:$H$179,6,FALSE)</f>
        <v>AHP</v>
      </c>
      <c r="D49" s="25"/>
      <c r="E49" s="25"/>
      <c r="F49" s="21">
        <f>VLOOKUP(D49,omop_standard!$A$2:$I$38,9,FALSE)</f>
        <v>7.333333333333333</v>
      </c>
      <c r="G49" s="21" t="s">
        <v>348</v>
      </c>
      <c r="H49">
        <f t="shared" si="0"/>
        <v>11.666666666666668</v>
      </c>
    </row>
    <row r="50" spans="1:8">
      <c r="A50" s="18" t="s">
        <v>95</v>
      </c>
      <c r="B50" s="18">
        <f>VLOOKUP(A50,omop_source!$A$2:$H$179,8,FALSE)</f>
        <v>19.25</v>
      </c>
      <c r="C50" s="18" t="str">
        <f>VLOOKUP(A50,omop_source!$A$2:$H$179,6,FALSE)</f>
        <v>AHP</v>
      </c>
      <c r="D50" s="25"/>
      <c r="E50" s="25"/>
      <c r="F50" s="21">
        <f>VLOOKUP(D50,omop_standard!$A$2:$I$38,9,FALSE)</f>
        <v>7.333333333333333</v>
      </c>
      <c r="G50" s="21" t="s">
        <v>348</v>
      </c>
      <c r="H50">
        <f t="shared" si="0"/>
        <v>11.916666666666668</v>
      </c>
    </row>
    <row r="51" spans="1:8">
      <c r="A51" s="18" t="s">
        <v>129</v>
      </c>
      <c r="B51" s="18">
        <f>VLOOKUP(A51,omop_source!$A$2:$H$179,8,FALSE)</f>
        <v>14.25</v>
      </c>
      <c r="C51" s="18" t="str">
        <f>VLOOKUP(A51,omop_source!$A$2:$H$179,6,FALSE)</f>
        <v>AHP</v>
      </c>
      <c r="D51" s="25"/>
      <c r="E51" s="25"/>
      <c r="F51" s="21">
        <f>VLOOKUP(D51,omop_standard!$A$2:$I$38,9,FALSE)</f>
        <v>7.333333333333333</v>
      </c>
      <c r="G51" s="21" t="s">
        <v>348</v>
      </c>
      <c r="H51">
        <f t="shared" si="0"/>
        <v>6.916666666666667</v>
      </c>
    </row>
    <row r="52" spans="1:8">
      <c r="A52" s="18" t="s">
        <v>110</v>
      </c>
      <c r="B52" s="18">
        <f>VLOOKUP(A52,omop_source!$A$2:$H$179,8,FALSE)</f>
        <v>19.25</v>
      </c>
      <c r="C52" s="18" t="str">
        <f>VLOOKUP(A52,omop_source!$A$2:$H$179,6,FALSE)</f>
        <v>AHP</v>
      </c>
      <c r="D52" s="25"/>
      <c r="E52" s="25"/>
      <c r="F52" s="21">
        <f>VLOOKUP(D52,omop_standard!$A$2:$I$38,9,FALSE)</f>
        <v>7.333333333333333</v>
      </c>
      <c r="G52" s="21" t="s">
        <v>348</v>
      </c>
      <c r="H52">
        <f t="shared" si="0"/>
        <v>11.916666666666668</v>
      </c>
    </row>
    <row r="53" spans="1:8">
      <c r="A53" s="18" t="s">
        <v>149</v>
      </c>
      <c r="B53" s="18">
        <f>VLOOKUP(A53,omop_source!$A$2:$H$179,8,FALSE)</f>
        <v>5.4238166417538611</v>
      </c>
      <c r="C53" s="18" t="str">
        <f>VLOOKUP(A53,omop_source!$A$2:$H$179,6,FALSE)</f>
        <v>AHP</v>
      </c>
      <c r="D53" s="25"/>
      <c r="E53" s="25"/>
      <c r="F53" s="21">
        <f>VLOOKUP(D53,omop_standard!$A$2:$I$38,9,FALSE)</f>
        <v>7.333333333333333</v>
      </c>
      <c r="G53" s="21" t="s">
        <v>348</v>
      </c>
      <c r="H53">
        <f t="shared" si="0"/>
        <v>-1.9095166915794719</v>
      </c>
    </row>
    <row r="54" spans="1:8">
      <c r="A54" s="18" t="s">
        <v>127</v>
      </c>
      <c r="B54" s="18">
        <f>VLOOKUP(A54,omop_source!$A$2:$H$179,8,FALSE)</f>
        <v>22.666666666666664</v>
      </c>
      <c r="C54" s="18" t="str">
        <f>VLOOKUP(A54,omop_source!$A$2:$H$179,6,FALSE)</f>
        <v>AHP</v>
      </c>
      <c r="D54" s="25"/>
      <c r="E54" s="25"/>
      <c r="F54" s="21">
        <f>VLOOKUP(D54,omop_standard!$A$2:$I$38,9,FALSE)</f>
        <v>7.333333333333333</v>
      </c>
      <c r="G54" s="21" t="s">
        <v>348</v>
      </c>
      <c r="H54">
        <f t="shared" si="0"/>
        <v>15.333333333333332</v>
      </c>
    </row>
    <row r="55" spans="1:8">
      <c r="A55" s="18" t="s">
        <v>115</v>
      </c>
      <c r="B55" s="18">
        <f>VLOOKUP(A55,omop_source!$A$2:$H$179,8,FALSE)</f>
        <v>26.5</v>
      </c>
      <c r="C55" s="18" t="str">
        <f>VLOOKUP(A55,omop_source!$A$2:$H$179,6,FALSE)</f>
        <v>AHP</v>
      </c>
      <c r="D55" s="25"/>
      <c r="E55" s="25"/>
      <c r="F55" s="21">
        <f>VLOOKUP(D55,omop_standard!$A$2:$I$38,9,FALSE)</f>
        <v>7.333333333333333</v>
      </c>
      <c r="G55" s="21" t="s">
        <v>348</v>
      </c>
      <c r="H55">
        <f t="shared" si="0"/>
        <v>19.166666666666668</v>
      </c>
    </row>
    <row r="56" spans="1:8">
      <c r="A56" s="18" t="s">
        <v>140</v>
      </c>
      <c r="B56" s="18">
        <f>VLOOKUP(A56,omop_source!$A$2:$H$179,8,FALSE)</f>
        <v>19.25</v>
      </c>
      <c r="C56" s="18" t="str">
        <f>VLOOKUP(A56,omop_source!$A$2:$H$179,6,FALSE)</f>
        <v>AHP</v>
      </c>
      <c r="D56" s="25"/>
      <c r="E56" s="25"/>
      <c r="F56" s="21">
        <f>VLOOKUP(D56,omop_standard!$A$2:$I$38,9,FALSE)</f>
        <v>7.333333333333333</v>
      </c>
      <c r="G56" s="21" t="s">
        <v>348</v>
      </c>
      <c r="H56">
        <f t="shared" si="0"/>
        <v>11.916666666666668</v>
      </c>
    </row>
    <row r="57" spans="1:8">
      <c r="A57" s="18" t="s">
        <v>72</v>
      </c>
      <c r="B57" s="18">
        <f>VLOOKUP(A57,omop_source!$A$2:$H$179,8,FALSE)</f>
        <v>35.333333333333329</v>
      </c>
      <c r="C57" s="18" t="str">
        <f>VLOOKUP(A57,omop_source!$A$2:$H$179,6,FALSE)</f>
        <v>AHP</v>
      </c>
      <c r="D57" s="25"/>
      <c r="E57" s="25"/>
      <c r="F57" s="21">
        <f>VLOOKUP(D57,omop_standard!$A$2:$I$38,9,FALSE)</f>
        <v>7.333333333333333</v>
      </c>
      <c r="G57" s="21" t="s">
        <v>348</v>
      </c>
      <c r="H57">
        <f t="shared" si="0"/>
        <v>27.999999999999996</v>
      </c>
    </row>
    <row r="58" spans="1:8">
      <c r="A58" s="18" t="s">
        <v>80</v>
      </c>
      <c r="B58" s="18">
        <f>VLOOKUP(A58,omop_source!$A$2:$H$179,8,FALSE)</f>
        <v>35.333333333333329</v>
      </c>
      <c r="C58" s="18" t="str">
        <f>VLOOKUP(A58,omop_source!$A$2:$H$179,6,FALSE)</f>
        <v>AHP</v>
      </c>
      <c r="D58" s="25"/>
      <c r="E58" s="25"/>
      <c r="F58" s="21">
        <f>VLOOKUP(D58,omop_standard!$A$2:$I$38,9,FALSE)</f>
        <v>7.333333333333333</v>
      </c>
      <c r="G58" s="21" t="s">
        <v>348</v>
      </c>
      <c r="H58">
        <f t="shared" si="0"/>
        <v>27.999999999999996</v>
      </c>
    </row>
    <row r="59" spans="1:8">
      <c r="A59" s="18" t="s">
        <v>144</v>
      </c>
      <c r="B59" s="18">
        <f>VLOOKUP(A59,omop_source!$A$2:$H$179,8,FALSE)</f>
        <v>14.666666666666666</v>
      </c>
      <c r="C59" s="18" t="str">
        <f>VLOOKUP(A59,omop_source!$A$2:$H$179,6,FALSE)</f>
        <v>AHP</v>
      </c>
      <c r="D59" s="25"/>
      <c r="E59" s="25"/>
      <c r="F59" s="21">
        <f>VLOOKUP(D59,omop_standard!$A$2:$I$38,9,FALSE)</f>
        <v>7.333333333333333</v>
      </c>
      <c r="G59" s="21" t="s">
        <v>348</v>
      </c>
      <c r="H59">
        <f t="shared" si="0"/>
        <v>7.333333333333333</v>
      </c>
    </row>
    <row r="60" spans="1:8">
      <c r="A60" s="18" t="s">
        <v>113</v>
      </c>
      <c r="B60" s="18">
        <f>VLOOKUP(A60,omop_source!$A$2:$H$179,8,FALSE)</f>
        <v>19.25</v>
      </c>
      <c r="C60" s="18" t="str">
        <f>VLOOKUP(A60,omop_source!$A$2:$H$179,6,FALSE)</f>
        <v>AHP</v>
      </c>
      <c r="D60" s="25"/>
      <c r="E60" s="25"/>
      <c r="F60" s="21">
        <f>VLOOKUP(D60,omop_standard!$A$2:$I$38,9,FALSE)</f>
        <v>7.333333333333333</v>
      </c>
      <c r="G60" s="21" t="s">
        <v>348</v>
      </c>
      <c r="H60">
        <f t="shared" si="0"/>
        <v>11.916666666666668</v>
      </c>
    </row>
    <row r="61" spans="1:8">
      <c r="A61" s="18" t="s">
        <v>137</v>
      </c>
      <c r="B61" s="18">
        <f>VLOOKUP(A61,omop_source!$A$2:$H$179,8,FALSE)</f>
        <v>14.25</v>
      </c>
      <c r="C61" s="18" t="str">
        <f>VLOOKUP(A61,omop_source!$A$2:$H$179,6,FALSE)</f>
        <v>AHP</v>
      </c>
      <c r="D61" s="25"/>
      <c r="E61" s="25"/>
      <c r="F61" s="21">
        <f>VLOOKUP(D61,omop_standard!$A$2:$I$38,9,FALSE)</f>
        <v>7.333333333333333</v>
      </c>
      <c r="G61" s="21" t="s">
        <v>348</v>
      </c>
      <c r="H61">
        <f t="shared" si="0"/>
        <v>6.916666666666667</v>
      </c>
    </row>
    <row r="62" spans="1:8">
      <c r="A62" s="18" t="s">
        <v>145</v>
      </c>
      <c r="B62" s="18">
        <f>VLOOKUP(A62,omop_source!$A$2:$H$179,8,FALSE)</f>
        <v>5.4238166417538611</v>
      </c>
      <c r="C62" s="18" t="str">
        <f>VLOOKUP(A62,omop_source!$A$2:$H$179,6,FALSE)</f>
        <v>AHP</v>
      </c>
      <c r="D62" s="25"/>
      <c r="E62" s="25"/>
      <c r="F62" s="21">
        <f>VLOOKUP(D62,omop_standard!$A$2:$I$38,9,FALSE)</f>
        <v>7.333333333333333</v>
      </c>
      <c r="G62" s="21" t="s">
        <v>348</v>
      </c>
      <c r="H62">
        <f t="shared" si="0"/>
        <v>-1.9095166915794719</v>
      </c>
    </row>
    <row r="63" spans="1:8">
      <c r="A63" s="18" t="s">
        <v>151</v>
      </c>
      <c r="B63" s="18">
        <f>VLOOKUP(A63,omop_source!$A$2:$H$179,8,FALSE)</f>
        <v>19.25</v>
      </c>
      <c r="C63" s="18" t="str">
        <f>VLOOKUP(A63,omop_source!$A$2:$H$179,6,FALSE)</f>
        <v>AHP</v>
      </c>
      <c r="D63" s="25"/>
      <c r="E63" s="25"/>
      <c r="F63" s="21">
        <f>VLOOKUP(D63,omop_standard!$A$2:$I$38,9,FALSE)</f>
        <v>7.333333333333333</v>
      </c>
      <c r="G63" s="21" t="s">
        <v>348</v>
      </c>
      <c r="H63">
        <f t="shared" si="0"/>
        <v>11.916666666666668</v>
      </c>
    </row>
    <row r="64" spans="1:8">
      <c r="A64" s="18" t="s">
        <v>105</v>
      </c>
      <c r="B64" s="18">
        <f>VLOOKUP(A64,omop_source!$A$2:$H$179,8,FALSE)</f>
        <v>22.666666666666664</v>
      </c>
      <c r="C64" s="18" t="str">
        <f>VLOOKUP(A64,omop_source!$A$2:$H$179,6,FALSE)</f>
        <v>AHP</v>
      </c>
      <c r="D64" s="25"/>
      <c r="E64" s="25"/>
      <c r="F64" s="21">
        <f>VLOOKUP(D64,omop_standard!$A$2:$I$38,9,FALSE)</f>
        <v>7.333333333333333</v>
      </c>
      <c r="G64" s="21" t="s">
        <v>348</v>
      </c>
      <c r="H64">
        <f t="shared" si="0"/>
        <v>15.333333333333332</v>
      </c>
    </row>
    <row r="65" spans="1:8">
      <c r="A65" s="18" t="s">
        <v>122</v>
      </c>
      <c r="B65" s="18">
        <f>VLOOKUP(A65,omop_source!$A$2:$H$179,8,FALSE)</f>
        <v>14.666666666666666</v>
      </c>
      <c r="C65" s="18" t="str">
        <f>VLOOKUP(A65,omop_source!$A$2:$H$179,6,FALSE)</f>
        <v>AHP</v>
      </c>
      <c r="D65" s="25"/>
      <c r="E65" s="25"/>
      <c r="F65" s="21">
        <f>VLOOKUP(D65,omop_standard!$A$2:$I$38,9,FALSE)</f>
        <v>7.333333333333333</v>
      </c>
      <c r="G65" s="21" t="s">
        <v>348</v>
      </c>
      <c r="H65">
        <f t="shared" si="0"/>
        <v>7.333333333333333</v>
      </c>
    </row>
    <row r="66" spans="1:8">
      <c r="A66" s="18" t="s">
        <v>330</v>
      </c>
      <c r="B66" s="18">
        <f>VLOOKUP(A66,omop_source!$A$2:$H$179,8,FALSE)</f>
        <v>6.5</v>
      </c>
      <c r="C66" s="18" t="str">
        <f>VLOOKUP(A66,omop_source!$A$2:$H$179,6,FALSE)</f>
        <v>AHP</v>
      </c>
      <c r="D66" s="25"/>
      <c r="E66" s="25"/>
      <c r="F66" s="21">
        <f>VLOOKUP(D66,omop_standard!$A$2:$I$38,9,FALSE)</f>
        <v>7.333333333333333</v>
      </c>
      <c r="G66" s="21" t="s">
        <v>348</v>
      </c>
      <c r="H66">
        <f t="shared" si="0"/>
        <v>-0.83333333333333304</v>
      </c>
    </row>
    <row r="67" spans="1:8">
      <c r="A67" s="18" t="s">
        <v>142</v>
      </c>
      <c r="B67" s="18">
        <f>VLOOKUP(A67,omop_source!$A$2:$H$179,8,FALSE)</f>
        <v>14.666666666666666</v>
      </c>
      <c r="C67" s="18" t="str">
        <f>VLOOKUP(A67,omop_source!$A$2:$H$179,6,FALSE)</f>
        <v>AHP</v>
      </c>
      <c r="D67" s="25"/>
      <c r="E67" s="25"/>
      <c r="F67" s="21">
        <f>VLOOKUP(D67,omop_standard!$A$2:$I$38,9,FALSE)</f>
        <v>7.333333333333333</v>
      </c>
      <c r="G67" s="21" t="s">
        <v>348</v>
      </c>
      <c r="H67">
        <f t="shared" ref="H67:H130" si="1">B67-F67</f>
        <v>7.333333333333333</v>
      </c>
    </row>
    <row r="68" spans="1:8">
      <c r="A68" s="18" t="s">
        <v>84</v>
      </c>
      <c r="B68" s="18">
        <f>VLOOKUP(A68,omop_source!$A$2:$H$179,8,FALSE)</f>
        <v>74</v>
      </c>
      <c r="C68" s="18" t="str">
        <f>VLOOKUP(A68,omop_source!$A$2:$H$179,6,FALSE)</f>
        <v>AHP</v>
      </c>
      <c r="D68" s="25"/>
      <c r="E68" s="25"/>
      <c r="F68" s="21">
        <f>VLOOKUP(D68,omop_standard!$A$2:$I$38,9,FALSE)</f>
        <v>7.333333333333333</v>
      </c>
      <c r="G68" s="21" t="s">
        <v>348</v>
      </c>
      <c r="H68">
        <f t="shared" si="1"/>
        <v>66.666666666666671</v>
      </c>
    </row>
    <row r="69" spans="1:8">
      <c r="A69" s="18" t="s">
        <v>88</v>
      </c>
      <c r="B69" s="18">
        <f>VLOOKUP(A69,omop_source!$A$2:$H$179,8,FALSE)</f>
        <v>17</v>
      </c>
      <c r="C69" s="18" t="str">
        <f>VLOOKUP(A69,omop_source!$A$2:$H$179,6,FALSE)</f>
        <v>AHP</v>
      </c>
      <c r="D69" s="25"/>
      <c r="E69" s="25"/>
      <c r="F69" s="21">
        <f>VLOOKUP(D69,omop_standard!$A$2:$I$38,9,FALSE)</f>
        <v>7.333333333333333</v>
      </c>
      <c r="G69" s="21" t="s">
        <v>348</v>
      </c>
      <c r="H69">
        <f t="shared" si="1"/>
        <v>9.6666666666666679</v>
      </c>
    </row>
    <row r="70" spans="1:8">
      <c r="A70" s="18" t="s">
        <v>156</v>
      </c>
      <c r="B70" s="18">
        <f>VLOOKUP(A70,omop_source!$A$2:$H$179,8,FALSE)</f>
        <v>19.25</v>
      </c>
      <c r="C70" s="18" t="str">
        <f>VLOOKUP(A70,omop_source!$A$2:$H$179,6,FALSE)</f>
        <v>AHP</v>
      </c>
      <c r="D70" s="25"/>
      <c r="E70" s="25"/>
      <c r="F70" s="21">
        <f>VLOOKUP(D70,omop_standard!$A$2:$I$38,9,FALSE)</f>
        <v>7.333333333333333</v>
      </c>
      <c r="G70" s="21" t="s">
        <v>348</v>
      </c>
      <c r="H70">
        <f t="shared" si="1"/>
        <v>11.916666666666668</v>
      </c>
    </row>
    <row r="71" spans="1:8">
      <c r="A71" s="18" t="s">
        <v>94</v>
      </c>
      <c r="B71" s="18">
        <f>VLOOKUP(A71,omop_source!$A$2:$H$179,8,FALSE)</f>
        <v>17</v>
      </c>
      <c r="C71" s="18" t="str">
        <f>VLOOKUP(A71,omop_source!$A$2:$H$179,6,FALSE)</f>
        <v>AHP</v>
      </c>
      <c r="D71" s="25"/>
      <c r="E71" s="25"/>
      <c r="F71" s="21">
        <f>VLOOKUP(D71,omop_standard!$A$2:$I$38,9,FALSE)</f>
        <v>7.333333333333333</v>
      </c>
      <c r="G71" s="21" t="s">
        <v>348</v>
      </c>
      <c r="H71">
        <f t="shared" si="1"/>
        <v>9.6666666666666679</v>
      </c>
    </row>
    <row r="72" spans="1:8">
      <c r="A72" s="18" t="s">
        <v>139</v>
      </c>
      <c r="B72" s="18">
        <f>VLOOKUP(A72,omop_source!$A$2:$H$179,8,FALSE)</f>
        <v>17</v>
      </c>
      <c r="C72" s="18" t="str">
        <f>VLOOKUP(A72,omop_source!$A$2:$H$179,6,FALSE)</f>
        <v>AHP</v>
      </c>
      <c r="D72" s="25"/>
      <c r="E72" s="25"/>
      <c r="F72" s="21">
        <f>VLOOKUP(D72,omop_standard!$A$2:$I$38,9,FALSE)</f>
        <v>7.333333333333333</v>
      </c>
      <c r="G72" s="21" t="s">
        <v>348</v>
      </c>
      <c r="H72">
        <f t="shared" si="1"/>
        <v>9.6666666666666679</v>
      </c>
    </row>
    <row r="73" spans="1:8">
      <c r="A73" s="18" t="s">
        <v>76</v>
      </c>
      <c r="B73" s="18">
        <f>VLOOKUP(A73,omop_source!$A$2:$H$179,8,FALSE)</f>
        <v>22.666666666666664</v>
      </c>
      <c r="C73" s="18" t="str">
        <f>VLOOKUP(A73,omop_source!$A$2:$H$179,6,FALSE)</f>
        <v>AHP</v>
      </c>
      <c r="D73" s="25"/>
      <c r="E73" s="25"/>
      <c r="F73" s="21">
        <f>VLOOKUP(D73,omop_standard!$A$2:$I$38,9,FALSE)</f>
        <v>7.333333333333333</v>
      </c>
      <c r="G73" s="21" t="s">
        <v>348</v>
      </c>
      <c r="H73">
        <f t="shared" si="1"/>
        <v>15.333333333333332</v>
      </c>
    </row>
    <row r="74" spans="1:8">
      <c r="A74" s="18" t="s">
        <v>141</v>
      </c>
      <c r="B74" s="18">
        <f>VLOOKUP(A74,omop_source!$A$2:$H$179,8,FALSE)</f>
        <v>19.25</v>
      </c>
      <c r="C74" s="18" t="str">
        <f>VLOOKUP(A74,omop_source!$A$2:$H$179,6,FALSE)</f>
        <v>AHP</v>
      </c>
      <c r="D74" s="25"/>
      <c r="E74" s="25"/>
      <c r="F74" s="21">
        <f>VLOOKUP(D74,omop_standard!$A$2:$I$38,9,FALSE)</f>
        <v>7.333333333333333</v>
      </c>
      <c r="G74" s="21" t="s">
        <v>348</v>
      </c>
      <c r="H74">
        <f t="shared" si="1"/>
        <v>11.916666666666668</v>
      </c>
    </row>
    <row r="75" spans="1:8">
      <c r="A75" s="18" t="s">
        <v>135</v>
      </c>
      <c r="B75" s="18">
        <f>VLOOKUP(A75,omop_source!$A$2:$H$179,8,FALSE)</f>
        <v>6.5</v>
      </c>
      <c r="C75" s="18" t="str">
        <f>VLOOKUP(A75,omop_source!$A$2:$H$179,6,FALSE)</f>
        <v>AHP</v>
      </c>
      <c r="D75" s="25"/>
      <c r="E75" s="25"/>
      <c r="F75" s="21">
        <f>VLOOKUP(D75,omop_standard!$A$2:$I$38,9,FALSE)</f>
        <v>7.333333333333333</v>
      </c>
      <c r="G75" s="21" t="s">
        <v>348</v>
      </c>
      <c r="H75">
        <f t="shared" si="1"/>
        <v>-0.83333333333333304</v>
      </c>
    </row>
    <row r="76" spans="1:8">
      <c r="A76" s="18" t="s">
        <v>116</v>
      </c>
      <c r="B76" s="18">
        <f>VLOOKUP(A76,omop_source!$A$2:$H$179,8,FALSE)</f>
        <v>14.25</v>
      </c>
      <c r="C76" s="18" t="str">
        <f>VLOOKUP(A76,omop_source!$A$2:$H$179,6,FALSE)</f>
        <v>AHP</v>
      </c>
      <c r="D76" s="25"/>
      <c r="E76" s="25"/>
      <c r="F76" s="21">
        <f>VLOOKUP(D76,omop_standard!$A$2:$I$38,9,FALSE)</f>
        <v>7.333333333333333</v>
      </c>
      <c r="G76" s="21" t="s">
        <v>348</v>
      </c>
      <c r="H76">
        <f t="shared" si="1"/>
        <v>6.916666666666667</v>
      </c>
    </row>
    <row r="77" spans="1:8">
      <c r="A77" s="18" t="s">
        <v>117</v>
      </c>
      <c r="B77" s="18">
        <f>VLOOKUP(A77,omop_source!$A$2:$H$179,8,FALSE)</f>
        <v>14.666666666666666</v>
      </c>
      <c r="C77" s="18" t="str">
        <f>VLOOKUP(A77,omop_source!$A$2:$H$179,6,FALSE)</f>
        <v>AHP</v>
      </c>
      <c r="D77" s="25"/>
      <c r="E77" s="25"/>
      <c r="F77" s="21">
        <f>VLOOKUP(D77,omop_standard!$A$2:$I$38,9,FALSE)</f>
        <v>7.333333333333333</v>
      </c>
      <c r="G77" s="21" t="s">
        <v>348</v>
      </c>
      <c r="H77">
        <f t="shared" si="1"/>
        <v>7.333333333333333</v>
      </c>
    </row>
    <row r="78" spans="1:8">
      <c r="A78" s="18" t="s">
        <v>106</v>
      </c>
      <c r="B78" s="18">
        <f>VLOOKUP(A78,omop_source!$A$2:$H$179,8,FALSE)</f>
        <v>12.442052815146987</v>
      </c>
      <c r="C78" s="18" t="str">
        <f>VLOOKUP(A78,omop_source!$A$2:$H$179,6,FALSE)</f>
        <v>Dental</v>
      </c>
      <c r="D78" s="25"/>
      <c r="E78" s="25"/>
      <c r="F78" s="21">
        <f>VLOOKUP(D78,omop_standard!$A$2:$I$38,9,FALSE)</f>
        <v>7.333333333333333</v>
      </c>
      <c r="G78" s="21" t="s">
        <v>348</v>
      </c>
      <c r="H78">
        <f t="shared" si="1"/>
        <v>5.1087194818136537</v>
      </c>
    </row>
    <row r="79" spans="1:8">
      <c r="A79" s="18" t="s">
        <v>17</v>
      </c>
      <c r="B79" s="18">
        <f>VLOOKUP(A79,omop_source!$A$2:$H$179,8,FALSE)</f>
        <v>55.5</v>
      </c>
      <c r="C79" s="18" t="str">
        <f>VLOOKUP(A79,omop_source!$A$2:$H$179,6,FALSE)</f>
        <v>GP</v>
      </c>
      <c r="D79" s="21">
        <v>0</v>
      </c>
      <c r="E79" s="21" t="s">
        <v>166</v>
      </c>
      <c r="F79" s="21">
        <f>VLOOKUP(D79,omop_standard!$A$2:$I$38,9,FALSE)</f>
        <v>7.333333333333333</v>
      </c>
      <c r="G79" s="21" t="str">
        <f>VLOOKUP(D79,omop_standard!$A$2:$I$38,7,FALSE)</f>
        <v>Uncategorised</v>
      </c>
      <c r="H79">
        <f t="shared" si="1"/>
        <v>48.166666666666664</v>
      </c>
    </row>
    <row r="80" spans="1:8">
      <c r="A80" s="18" t="s">
        <v>20</v>
      </c>
      <c r="B80" s="18">
        <f>VLOOKUP(A80,omop_source!$A$2:$H$179,8,FALSE)</f>
        <v>55.5</v>
      </c>
      <c r="C80" s="18" t="str">
        <f>VLOOKUP(A80,omop_source!$A$2:$H$179,6,FALSE)</f>
        <v>GP</v>
      </c>
      <c r="D80" s="21">
        <v>0</v>
      </c>
      <c r="E80" s="21" t="s">
        <v>166</v>
      </c>
      <c r="F80" s="21">
        <f>VLOOKUP(D80,omop_standard!$A$2:$I$38,9,FALSE)</f>
        <v>7.333333333333333</v>
      </c>
      <c r="G80" s="21" t="str">
        <f>VLOOKUP(D80,omop_standard!$A$2:$I$38,7,FALSE)</f>
        <v>Uncategorised</v>
      </c>
      <c r="H80">
        <f t="shared" si="1"/>
        <v>48.166666666666664</v>
      </c>
    </row>
    <row r="81" spans="1:8">
      <c r="A81" s="18" t="s">
        <v>24</v>
      </c>
      <c r="B81" s="18">
        <f>VLOOKUP(A81,omop_source!$A$2:$H$179,8,FALSE)</f>
        <v>55.5</v>
      </c>
      <c r="C81" s="18" t="str">
        <f>VLOOKUP(A81,omop_source!$A$2:$H$179,6,FALSE)</f>
        <v>GP</v>
      </c>
      <c r="D81" s="21">
        <v>0</v>
      </c>
      <c r="E81" s="21" t="s">
        <v>166</v>
      </c>
      <c r="F81" s="21">
        <f>VLOOKUP(D81,omop_standard!$A$2:$I$38,9,FALSE)</f>
        <v>7.333333333333333</v>
      </c>
      <c r="G81" s="21" t="str">
        <f>VLOOKUP(D81,omop_standard!$A$2:$I$38,7,FALSE)</f>
        <v>Uncategorised</v>
      </c>
      <c r="H81">
        <f t="shared" si="1"/>
        <v>48.166666666666664</v>
      </c>
    </row>
    <row r="82" spans="1:8">
      <c r="A82" s="18" t="s">
        <v>329</v>
      </c>
      <c r="B82" s="18">
        <f>VLOOKUP(A82,omop_source!$A$2:$H$179,8,FALSE)</f>
        <v>40.333333333333329</v>
      </c>
      <c r="C82" s="18" t="str">
        <f>VLOOKUP(A82,omop_source!$A$2:$H$179,6,FALSE)</f>
        <v>Medic non-GP</v>
      </c>
      <c r="D82" s="25"/>
      <c r="E82" s="25"/>
      <c r="F82" s="21">
        <f>VLOOKUP(D82,omop_standard!$A$2:$I$38,9,FALSE)</f>
        <v>7.333333333333333</v>
      </c>
      <c r="G82" s="21" t="s">
        <v>348</v>
      </c>
      <c r="H82">
        <f t="shared" si="1"/>
        <v>32.999999999999993</v>
      </c>
    </row>
    <row r="83" spans="1:8">
      <c r="A83" s="18" t="s">
        <v>103</v>
      </c>
      <c r="B83" s="18">
        <f>VLOOKUP(A83,omop_source!$A$2:$H$179,8,FALSE)</f>
        <v>3.1105132037867467</v>
      </c>
      <c r="C83" s="18" t="str">
        <f>VLOOKUP(A83,omop_source!$A$2:$H$179,6,FALSE)</f>
        <v>Medic non-GP</v>
      </c>
      <c r="D83" s="25"/>
      <c r="E83" s="25"/>
      <c r="F83" s="21">
        <f>VLOOKUP(D83,omop_standard!$A$2:$I$38,9,FALSE)</f>
        <v>7.333333333333333</v>
      </c>
      <c r="G83" s="21" t="s">
        <v>348</v>
      </c>
      <c r="H83">
        <f t="shared" si="1"/>
        <v>-4.2228201295465864</v>
      </c>
    </row>
    <row r="84" spans="1:8">
      <c r="A84" s="18" t="s">
        <v>136</v>
      </c>
      <c r="B84" s="18">
        <f>VLOOKUP(A84,omop_source!$A$2:$H$179,8,FALSE)</f>
        <v>55.5</v>
      </c>
      <c r="C84" s="18" t="str">
        <f>VLOOKUP(A84,omop_source!$A$2:$H$179,6,FALSE)</f>
        <v>Medic non-GP</v>
      </c>
      <c r="D84" s="25"/>
      <c r="E84" s="25"/>
      <c r="F84" s="21">
        <f>VLOOKUP(D84,omop_standard!$A$2:$I$38,9,FALSE)</f>
        <v>7.333333333333333</v>
      </c>
      <c r="G84" s="21" t="s">
        <v>348</v>
      </c>
      <c r="H84">
        <f t="shared" si="1"/>
        <v>48.166666666666664</v>
      </c>
    </row>
    <row r="85" spans="1:8">
      <c r="A85" s="18" t="s">
        <v>86</v>
      </c>
      <c r="B85" s="18">
        <f>VLOOKUP(A85,omop_source!$A$2:$H$179,8,FALSE)</f>
        <v>55.5</v>
      </c>
      <c r="C85" s="18" t="str">
        <f>VLOOKUP(A85,omop_source!$A$2:$H$179,6,FALSE)</f>
        <v>Medic non-GP</v>
      </c>
      <c r="D85" s="25"/>
      <c r="E85" s="25"/>
      <c r="F85" s="21">
        <f>VLOOKUP(D85,omop_standard!$A$2:$I$38,9,FALSE)</f>
        <v>7.333333333333333</v>
      </c>
      <c r="G85" s="21" t="s">
        <v>348</v>
      </c>
      <c r="H85">
        <f t="shared" si="1"/>
        <v>48.166666666666664</v>
      </c>
    </row>
    <row r="86" spans="1:8">
      <c r="A86" s="18" t="s">
        <v>155</v>
      </c>
      <c r="B86" s="18">
        <f>VLOOKUP(A86,omop_source!$A$2:$H$179,8,FALSE)</f>
        <v>55.5</v>
      </c>
      <c r="C86" s="18" t="str">
        <f>VLOOKUP(A86,omop_source!$A$2:$H$179,6,FALSE)</f>
        <v>Medic non-GP</v>
      </c>
      <c r="D86" s="25"/>
      <c r="E86" s="25"/>
      <c r="F86" s="21">
        <f>VLOOKUP(D86,omop_standard!$A$2:$I$38,9,FALSE)</f>
        <v>7.333333333333333</v>
      </c>
      <c r="G86" s="21" t="s">
        <v>348</v>
      </c>
      <c r="H86">
        <f t="shared" si="1"/>
        <v>48.166666666666664</v>
      </c>
    </row>
    <row r="87" spans="1:8">
      <c r="A87" s="18" t="s">
        <v>111</v>
      </c>
      <c r="B87" s="18">
        <f>VLOOKUP(A87,omop_source!$A$2:$H$179,8,FALSE)</f>
        <v>55.5</v>
      </c>
      <c r="C87" s="18" t="str">
        <f>VLOOKUP(A87,omop_source!$A$2:$H$179,6,FALSE)</f>
        <v>Medic non-GP</v>
      </c>
      <c r="D87" s="25"/>
      <c r="E87" s="25"/>
      <c r="F87" s="21">
        <f>VLOOKUP(D87,omop_standard!$A$2:$I$38,9,FALSE)</f>
        <v>7.333333333333333</v>
      </c>
      <c r="G87" s="21" t="s">
        <v>348</v>
      </c>
      <c r="H87">
        <f t="shared" si="1"/>
        <v>48.166666666666664</v>
      </c>
    </row>
    <row r="88" spans="1:8">
      <c r="A88" s="18" t="s">
        <v>79</v>
      </c>
      <c r="B88" s="18">
        <f>VLOOKUP(A88,omop_source!$A$2:$H$179,8,FALSE)</f>
        <v>55.5</v>
      </c>
      <c r="C88" s="18" t="str">
        <f>VLOOKUP(A88,omop_source!$A$2:$H$179,6,FALSE)</f>
        <v>Medic non-GP</v>
      </c>
      <c r="D88" s="25"/>
      <c r="E88" s="25"/>
      <c r="F88" s="21">
        <f>VLOOKUP(D88,omop_standard!$A$2:$I$38,9,FALSE)</f>
        <v>7.333333333333333</v>
      </c>
      <c r="G88" s="21" t="s">
        <v>348</v>
      </c>
      <c r="H88">
        <f t="shared" si="1"/>
        <v>48.166666666666664</v>
      </c>
    </row>
    <row r="89" spans="1:8">
      <c r="A89" s="18" t="s">
        <v>49</v>
      </c>
      <c r="B89" s="18">
        <f>VLOOKUP(A89,omop_source!$A$2:$H$179,8,FALSE)</f>
        <v>55.5</v>
      </c>
      <c r="C89" s="18" t="str">
        <f>VLOOKUP(A89,omop_source!$A$2:$H$179,6,FALSE)</f>
        <v>Medic non-GP</v>
      </c>
      <c r="D89" s="25"/>
      <c r="E89" s="25"/>
      <c r="F89" s="21">
        <f>VLOOKUP(D89,omop_standard!$A$2:$I$38,9,FALSE)</f>
        <v>7.333333333333333</v>
      </c>
      <c r="G89" s="21" t="s">
        <v>348</v>
      </c>
      <c r="H89">
        <f t="shared" si="1"/>
        <v>48.166666666666664</v>
      </c>
    </row>
    <row r="90" spans="1:8">
      <c r="A90" s="18" t="s">
        <v>320</v>
      </c>
      <c r="B90" s="18">
        <f>VLOOKUP(A90,omop_source!$A$2:$H$179,8,FALSE)</f>
        <v>55.5</v>
      </c>
      <c r="C90" s="18" t="str">
        <f>VLOOKUP(A90,omop_source!$A$2:$H$179,6,FALSE)</f>
        <v>Medic non-GP</v>
      </c>
      <c r="D90" s="25"/>
      <c r="E90" s="25"/>
      <c r="F90" s="21">
        <f>VLOOKUP(D90,omop_standard!$A$2:$I$38,9,FALSE)</f>
        <v>7.333333333333333</v>
      </c>
      <c r="G90" s="21" t="s">
        <v>348</v>
      </c>
      <c r="H90">
        <f t="shared" si="1"/>
        <v>48.166666666666664</v>
      </c>
    </row>
    <row r="91" spans="1:8">
      <c r="A91" s="18" t="s">
        <v>112</v>
      </c>
      <c r="B91" s="18">
        <f>VLOOKUP(A91,omop_source!$A$2:$H$179,8,FALSE)</f>
        <v>55.5</v>
      </c>
      <c r="C91" s="18" t="str">
        <f>VLOOKUP(A91,omop_source!$A$2:$H$179,6,FALSE)</f>
        <v>Medic non-GP</v>
      </c>
      <c r="D91" s="25"/>
      <c r="E91" s="25"/>
      <c r="F91" s="21">
        <f>VLOOKUP(D91,omop_standard!$A$2:$I$38,9,FALSE)</f>
        <v>7.333333333333333</v>
      </c>
      <c r="G91" s="21" t="s">
        <v>348</v>
      </c>
      <c r="H91">
        <f t="shared" si="1"/>
        <v>48.166666666666664</v>
      </c>
    </row>
    <row r="92" spans="1:8">
      <c r="A92" s="18" t="s">
        <v>92</v>
      </c>
      <c r="B92" s="18">
        <f>VLOOKUP(A92,omop_source!$A$2:$H$179,8,FALSE)</f>
        <v>55.5</v>
      </c>
      <c r="C92" s="18" t="str">
        <f>VLOOKUP(A92,omop_source!$A$2:$H$179,6,FALSE)</f>
        <v>Medic non-GP</v>
      </c>
      <c r="D92" s="25"/>
      <c r="E92" s="25"/>
      <c r="F92" s="21">
        <f>VLOOKUP(D92,omop_standard!$A$2:$I$38,9,FALSE)</f>
        <v>7.333333333333333</v>
      </c>
      <c r="G92" s="21" t="s">
        <v>348</v>
      </c>
      <c r="H92">
        <f t="shared" si="1"/>
        <v>48.166666666666664</v>
      </c>
    </row>
    <row r="93" spans="1:8">
      <c r="A93" s="18" t="s">
        <v>128</v>
      </c>
      <c r="B93" s="18">
        <f>VLOOKUP(A93,omop_source!$A$2:$H$179,8,FALSE)</f>
        <v>55.5</v>
      </c>
      <c r="C93" s="18" t="str">
        <f>VLOOKUP(A93,omop_source!$A$2:$H$179,6,FALSE)</f>
        <v>Medic non-GP</v>
      </c>
      <c r="D93" s="25"/>
      <c r="E93" s="25"/>
      <c r="F93" s="21">
        <f>VLOOKUP(D93,omop_standard!$A$2:$I$38,9,FALSE)</f>
        <v>7.333333333333333</v>
      </c>
      <c r="G93" s="21" t="s">
        <v>348</v>
      </c>
      <c r="H93">
        <f t="shared" si="1"/>
        <v>48.166666666666664</v>
      </c>
    </row>
    <row r="94" spans="1:8">
      <c r="A94" s="18" t="s">
        <v>324</v>
      </c>
      <c r="B94" s="18">
        <f>VLOOKUP(A94,omop_source!$A$2:$H$179,8,FALSE)</f>
        <v>25.75</v>
      </c>
      <c r="C94" s="18" t="str">
        <f>VLOOKUP(A94,omop_source!$A$2:$H$179,6,FALSE)</f>
        <v>Medic non-GP</v>
      </c>
      <c r="D94" s="25"/>
      <c r="E94" s="25"/>
      <c r="F94" s="21">
        <f>VLOOKUP(D94,omop_standard!$A$2:$I$38,9,FALSE)</f>
        <v>7.333333333333333</v>
      </c>
      <c r="G94" s="21" t="s">
        <v>348</v>
      </c>
      <c r="H94">
        <f t="shared" si="1"/>
        <v>18.416666666666668</v>
      </c>
    </row>
    <row r="95" spans="1:8">
      <c r="A95" s="18" t="s">
        <v>148</v>
      </c>
      <c r="B95" s="18">
        <f>VLOOKUP(A95,omop_source!$A$2:$H$179,8,FALSE)</f>
        <v>55.5</v>
      </c>
      <c r="C95" s="18" t="str">
        <f>VLOOKUP(A95,omop_source!$A$2:$H$179,6,FALSE)</f>
        <v>Medic non-GP</v>
      </c>
      <c r="D95" s="25"/>
      <c r="E95" s="25"/>
      <c r="F95" s="21">
        <f>VLOOKUP(D95,omop_standard!$A$2:$I$38,9,FALSE)</f>
        <v>7.333333333333333</v>
      </c>
      <c r="G95" s="21" t="s">
        <v>348</v>
      </c>
      <c r="H95">
        <f t="shared" si="1"/>
        <v>48.166666666666664</v>
      </c>
    </row>
    <row r="96" spans="1:8">
      <c r="A96" s="18" t="s">
        <v>71</v>
      </c>
      <c r="B96" s="18">
        <f>VLOOKUP(A96,omop_source!$A$2:$H$179,8,FALSE)</f>
        <v>55.5</v>
      </c>
      <c r="C96" s="18" t="str">
        <f>VLOOKUP(A96,omop_source!$A$2:$H$179,6,FALSE)</f>
        <v>Medic non-GP</v>
      </c>
      <c r="D96" s="25"/>
      <c r="E96" s="25"/>
      <c r="F96" s="21">
        <f>VLOOKUP(D96,omop_standard!$A$2:$I$38,9,FALSE)</f>
        <v>7.333333333333333</v>
      </c>
      <c r="G96" s="21" t="s">
        <v>348</v>
      </c>
      <c r="H96">
        <f t="shared" si="1"/>
        <v>48.166666666666664</v>
      </c>
    </row>
    <row r="97" spans="1:8">
      <c r="A97" s="18" t="s">
        <v>55</v>
      </c>
      <c r="B97" s="18">
        <f>VLOOKUP(A97,omop_source!$A$2:$H$179,8,FALSE)</f>
        <v>4.5271051320378675</v>
      </c>
      <c r="C97" s="18" t="str">
        <f>VLOOKUP(A97,omop_source!$A$2:$H$179,6,FALSE)</f>
        <v>Medic non-GP</v>
      </c>
      <c r="D97" s="25"/>
      <c r="E97" s="25"/>
      <c r="F97" s="21">
        <f>VLOOKUP(D97,omop_standard!$A$2:$I$38,9,FALSE)</f>
        <v>7.333333333333333</v>
      </c>
      <c r="G97" s="21" t="s">
        <v>348</v>
      </c>
      <c r="H97">
        <f t="shared" si="1"/>
        <v>-2.8062282012954656</v>
      </c>
    </row>
    <row r="98" spans="1:8">
      <c r="A98" s="18" t="s">
        <v>74</v>
      </c>
      <c r="B98" s="18">
        <f>VLOOKUP(A98,omop_source!$A$2:$H$179,8,FALSE)</f>
        <v>55.5</v>
      </c>
      <c r="C98" s="18" t="str">
        <f>VLOOKUP(A98,omop_source!$A$2:$H$179,6,FALSE)</f>
        <v>Medic non-GP</v>
      </c>
      <c r="D98" s="25"/>
      <c r="E98" s="25"/>
      <c r="F98" s="21">
        <f>VLOOKUP(D98,omop_standard!$A$2:$I$38,9,FALSE)</f>
        <v>7.333333333333333</v>
      </c>
      <c r="G98" s="21" t="s">
        <v>348</v>
      </c>
      <c r="H98">
        <f t="shared" si="1"/>
        <v>48.166666666666664</v>
      </c>
    </row>
    <row r="99" spans="1:8">
      <c r="A99" s="18" t="s">
        <v>26</v>
      </c>
      <c r="B99" s="18">
        <f>VLOOKUP(A99,omop_source!$A$2:$H$179,8,FALSE)</f>
        <v>55.5</v>
      </c>
      <c r="C99" s="18" t="str">
        <f>VLOOKUP(A99,omop_source!$A$2:$H$179,6,FALSE)</f>
        <v>Medic non-GP</v>
      </c>
      <c r="D99" s="21">
        <v>0</v>
      </c>
      <c r="E99" s="21" t="s">
        <v>166</v>
      </c>
      <c r="F99" s="21">
        <f>VLOOKUP(D99,omop_standard!$A$2:$I$38,9,FALSE)</f>
        <v>7.333333333333333</v>
      </c>
      <c r="G99" s="21" t="str">
        <f>VLOOKUP(D99,omop_standard!$A$2:$I$38,7,FALSE)</f>
        <v>Uncategorised</v>
      </c>
      <c r="H99">
        <f t="shared" si="1"/>
        <v>48.166666666666664</v>
      </c>
    </row>
    <row r="100" spans="1:8">
      <c r="A100" s="18" t="s">
        <v>319</v>
      </c>
      <c r="B100" s="18">
        <f>VLOOKUP(A100,omop_source!$A$2:$H$179,8,FALSE)</f>
        <v>13</v>
      </c>
      <c r="C100" s="18" t="str">
        <f>VLOOKUP(A100,omop_source!$A$2:$H$179,6,FALSE)</f>
        <v>Non-registered other</v>
      </c>
      <c r="D100" s="25"/>
      <c r="E100" s="25"/>
      <c r="F100" s="21">
        <f>VLOOKUP(D100,omop_standard!$A$2:$I$38,9,FALSE)</f>
        <v>7.333333333333333</v>
      </c>
      <c r="G100" s="21" t="s">
        <v>348</v>
      </c>
      <c r="H100">
        <f t="shared" si="1"/>
        <v>5.666666666666667</v>
      </c>
    </row>
    <row r="101" spans="1:8">
      <c r="A101" s="18" t="s">
        <v>89</v>
      </c>
      <c r="B101" s="18">
        <f>VLOOKUP(A101,omop_source!$A$2:$H$179,8,FALSE)</f>
        <v>0.60265072247135032</v>
      </c>
      <c r="C101" s="18" t="str">
        <f>VLOOKUP(A101,omop_source!$A$2:$H$179,6,FALSE)</f>
        <v>Non-registered other</v>
      </c>
      <c r="D101" s="25"/>
      <c r="E101" s="25"/>
      <c r="F101" s="21">
        <f>VLOOKUP(D101,omop_standard!$A$2:$I$38,9,FALSE)</f>
        <v>7.333333333333333</v>
      </c>
      <c r="G101" s="21" t="s">
        <v>348</v>
      </c>
      <c r="H101">
        <f t="shared" si="1"/>
        <v>-6.7306826108619831</v>
      </c>
    </row>
    <row r="102" spans="1:8">
      <c r="A102" s="18" t="s">
        <v>69</v>
      </c>
      <c r="B102" s="18">
        <f>VLOOKUP(A102,omop_source!$A$2:$H$179,8,FALSE)</f>
        <v>9.75</v>
      </c>
      <c r="C102" s="18" t="str">
        <f>VLOOKUP(A102,omop_source!$A$2:$H$179,6,FALSE)</f>
        <v>Non-registered other</v>
      </c>
      <c r="D102" s="25"/>
      <c r="E102" s="25"/>
      <c r="F102" s="21">
        <f>VLOOKUP(D102,omop_standard!$A$2:$I$38,9,FALSE)</f>
        <v>7.333333333333333</v>
      </c>
      <c r="G102" s="21" t="s">
        <v>348</v>
      </c>
      <c r="H102">
        <f t="shared" si="1"/>
        <v>2.416666666666667</v>
      </c>
    </row>
    <row r="103" spans="1:8">
      <c r="A103" s="18" t="s">
        <v>130</v>
      </c>
      <c r="B103" s="18">
        <f>VLOOKUP(A103,omop_source!$A$2:$H$179,8,FALSE)</f>
        <v>5.4238166417538611</v>
      </c>
      <c r="C103" s="18" t="str">
        <f>VLOOKUP(A103,omop_source!$A$2:$H$179,6,FALSE)</f>
        <v>Non-registered other</v>
      </c>
      <c r="D103" s="25"/>
      <c r="E103" s="25"/>
      <c r="F103" s="21">
        <f>VLOOKUP(D103,omop_standard!$A$2:$I$38,9,FALSE)</f>
        <v>7.333333333333333</v>
      </c>
      <c r="G103" s="21" t="s">
        <v>348</v>
      </c>
      <c r="H103">
        <f t="shared" si="1"/>
        <v>-1.9095166915794719</v>
      </c>
    </row>
    <row r="104" spans="1:8">
      <c r="A104" s="18" t="s">
        <v>51</v>
      </c>
      <c r="B104" s="18">
        <f>VLOOKUP(A104,omop_source!$A$2:$H$179,8,FALSE)</f>
        <v>3.0132536123567517</v>
      </c>
      <c r="C104" s="18" t="str">
        <f>VLOOKUP(A104,omop_source!$A$2:$H$179,6,FALSE)</f>
        <v>Non-registered other</v>
      </c>
      <c r="D104" s="25"/>
      <c r="E104" s="25"/>
      <c r="F104" s="21">
        <f>VLOOKUP(D104,omop_standard!$A$2:$I$38,9,FALSE)</f>
        <v>7.333333333333333</v>
      </c>
      <c r="G104" s="21" t="s">
        <v>348</v>
      </c>
      <c r="H104">
        <f t="shared" si="1"/>
        <v>-4.3200797209765813</v>
      </c>
    </row>
    <row r="105" spans="1:8">
      <c r="A105" s="18" t="s">
        <v>336</v>
      </c>
      <c r="B105" s="18">
        <f>VLOOKUP(A105,omop_source!$A$2:$H$179,8,FALSE)</f>
        <v>1.3559541604384653</v>
      </c>
      <c r="C105" s="18" t="str">
        <f>VLOOKUP(A105,omop_source!$A$2:$H$179,6,FALSE)</f>
        <v>Non-registered other</v>
      </c>
      <c r="D105" s="25"/>
      <c r="E105" s="25"/>
      <c r="F105" s="21">
        <f>VLOOKUP(D105,omop_standard!$A$2:$I$38,9,FALSE)</f>
        <v>7.333333333333333</v>
      </c>
      <c r="G105" s="21" t="s">
        <v>348</v>
      </c>
      <c r="H105">
        <f t="shared" si="1"/>
        <v>-5.9773791728948673</v>
      </c>
    </row>
    <row r="106" spans="1:8">
      <c r="A106" s="18" t="s">
        <v>146</v>
      </c>
      <c r="B106" s="18">
        <f>VLOOKUP(A106,omop_source!$A$2:$H$179,8,FALSE)</f>
        <v>1.5066268061783759</v>
      </c>
      <c r="C106" s="18" t="str">
        <f>VLOOKUP(A106,omop_source!$A$2:$H$179,6,FALSE)</f>
        <v>Non-registered other</v>
      </c>
      <c r="D106" s="25"/>
      <c r="E106" s="25"/>
      <c r="F106" s="21">
        <f>VLOOKUP(D106,omop_standard!$A$2:$I$38,9,FALSE)</f>
        <v>7.333333333333333</v>
      </c>
      <c r="G106" s="21" t="s">
        <v>348</v>
      </c>
      <c r="H106">
        <f t="shared" si="1"/>
        <v>-5.8267065271549576</v>
      </c>
    </row>
    <row r="107" spans="1:8">
      <c r="A107" s="18" t="s">
        <v>152</v>
      </c>
      <c r="B107" s="18">
        <f>VLOOKUP(A107,omop_source!$A$2:$H$179,8,FALSE)</f>
        <v>1.7937219730941707</v>
      </c>
      <c r="C107" s="18" t="str">
        <f>VLOOKUP(A107,omop_source!$A$2:$H$179,6,FALSE)</f>
        <v>Non-registered other</v>
      </c>
      <c r="D107" s="25"/>
      <c r="E107" s="25"/>
      <c r="F107" s="21">
        <f>VLOOKUP(D107,omop_standard!$A$2:$I$38,9,FALSE)</f>
        <v>7.333333333333333</v>
      </c>
      <c r="G107" s="21" t="s">
        <v>348</v>
      </c>
      <c r="H107">
        <f t="shared" si="1"/>
        <v>-5.5396113602391619</v>
      </c>
    </row>
    <row r="108" spans="1:8">
      <c r="A108" s="18" t="s">
        <v>67</v>
      </c>
      <c r="B108" s="18">
        <f>VLOOKUP(A108,omop_source!$A$2:$H$179,8,FALSE)</f>
        <v>1.5066268061783759</v>
      </c>
      <c r="C108" s="18" t="str">
        <f>VLOOKUP(A108,omop_source!$A$2:$H$179,6,FALSE)</f>
        <v>Non-registered other</v>
      </c>
      <c r="D108" s="25"/>
      <c r="E108" s="25"/>
      <c r="F108" s="21">
        <f>VLOOKUP(D108,omop_standard!$A$2:$I$38,9,FALSE)</f>
        <v>7.333333333333333</v>
      </c>
      <c r="G108" s="21" t="s">
        <v>348</v>
      </c>
      <c r="H108">
        <f t="shared" si="1"/>
        <v>-5.8267065271549576</v>
      </c>
    </row>
    <row r="109" spans="1:8">
      <c r="A109" s="18" t="s">
        <v>101</v>
      </c>
      <c r="B109" s="18">
        <f>VLOOKUP(A109,omop_source!$A$2:$H$179,8,FALSE)</f>
        <v>4.5198804185351271</v>
      </c>
      <c r="C109" s="18" t="str">
        <f>VLOOKUP(A109,omop_source!$A$2:$H$179,6,FALSE)</f>
        <v>Non-registered other</v>
      </c>
      <c r="D109" s="25"/>
      <c r="E109" s="25"/>
      <c r="F109" s="21">
        <f>VLOOKUP(D109,omop_standard!$A$2:$I$38,9,FALSE)</f>
        <v>7.333333333333333</v>
      </c>
      <c r="G109" s="21" t="s">
        <v>348</v>
      </c>
      <c r="H109">
        <f t="shared" si="1"/>
        <v>-2.8134529147982059</v>
      </c>
    </row>
    <row r="110" spans="1:8">
      <c r="A110" s="18" t="s">
        <v>157</v>
      </c>
      <c r="B110" s="18">
        <f>VLOOKUP(A110,omop_source!$A$2:$H$179,8,FALSE)</f>
        <v>1.3559541604384653</v>
      </c>
      <c r="C110" s="18" t="str">
        <f>VLOOKUP(A110,omop_source!$A$2:$H$179,6,FALSE)</f>
        <v>Non-registered other</v>
      </c>
      <c r="D110" s="25"/>
      <c r="E110" s="25"/>
      <c r="F110" s="21">
        <f>VLOOKUP(D110,omop_standard!$A$2:$I$38,9,FALSE)</f>
        <v>7.333333333333333</v>
      </c>
      <c r="G110" s="21" t="s">
        <v>348</v>
      </c>
      <c r="H110">
        <f t="shared" si="1"/>
        <v>-5.9773791728948673</v>
      </c>
    </row>
    <row r="111" spans="1:8">
      <c r="A111" s="18" t="s">
        <v>318</v>
      </c>
      <c r="B111" s="18">
        <f>VLOOKUP(A111,omop_source!$A$2:$H$179,8,FALSE)</f>
        <v>13</v>
      </c>
      <c r="C111" s="18" t="str">
        <f>VLOOKUP(A111,omop_source!$A$2:$H$179,6,FALSE)</f>
        <v>Non-registered other</v>
      </c>
      <c r="D111" s="25"/>
      <c r="E111" s="25"/>
      <c r="F111" s="21">
        <f>VLOOKUP(D111,omop_standard!$A$2:$I$38,9,FALSE)</f>
        <v>7.333333333333333</v>
      </c>
      <c r="G111" s="21" t="s">
        <v>348</v>
      </c>
      <c r="H111">
        <f t="shared" si="1"/>
        <v>5.666666666666667</v>
      </c>
    </row>
    <row r="112" spans="1:8">
      <c r="A112" s="18" t="s">
        <v>323</v>
      </c>
      <c r="B112" s="18">
        <f>VLOOKUP(A112,omop_source!$A$2:$H$179,8,FALSE)</f>
        <v>2.2903836571998006</v>
      </c>
      <c r="C112" s="18" t="str">
        <f>VLOOKUP(A112,omop_source!$A$2:$H$179,6,FALSE)</f>
        <v>Non-registered other</v>
      </c>
      <c r="D112" s="25"/>
      <c r="E112" s="25"/>
      <c r="F112" s="21">
        <f>VLOOKUP(D112,omop_standard!$A$2:$I$38,9,FALSE)</f>
        <v>7.333333333333333</v>
      </c>
      <c r="G112" s="21" t="s">
        <v>348</v>
      </c>
      <c r="H112">
        <f t="shared" si="1"/>
        <v>-5.0429496761335324</v>
      </c>
    </row>
    <row r="113" spans="1:8">
      <c r="A113" s="18" t="s">
        <v>90</v>
      </c>
      <c r="B113" s="18">
        <f>VLOOKUP(A113,omop_source!$A$2:$H$179,8,FALSE)</f>
        <v>14.666666666666666</v>
      </c>
      <c r="C113" s="18" t="str">
        <f>VLOOKUP(A113,omop_source!$A$2:$H$179,6,FALSE)</f>
        <v>Non-registered other</v>
      </c>
      <c r="D113" s="25"/>
      <c r="E113" s="25"/>
      <c r="F113" s="21">
        <f>VLOOKUP(D113,omop_standard!$A$2:$I$38,9,FALSE)</f>
        <v>7.333333333333333</v>
      </c>
      <c r="G113" s="21" t="s">
        <v>348</v>
      </c>
      <c r="H113">
        <f t="shared" si="1"/>
        <v>7.333333333333333</v>
      </c>
    </row>
    <row r="114" spans="1:8">
      <c r="A114" s="18" t="s">
        <v>316</v>
      </c>
      <c r="B114" s="18">
        <f>VLOOKUP(A114,omop_source!$A$2:$H$179,8,FALSE)</f>
        <v>7.5</v>
      </c>
      <c r="C114" s="18" t="str">
        <f>VLOOKUP(A114,omop_source!$A$2:$H$179,6,FALSE)</f>
        <v>Non-registered other</v>
      </c>
      <c r="D114" s="25"/>
      <c r="E114" s="25"/>
      <c r="F114" s="21">
        <f>VLOOKUP(D114,omop_standard!$A$2:$I$38,9,FALSE)</f>
        <v>7.333333333333333</v>
      </c>
      <c r="G114" s="21" t="s">
        <v>348</v>
      </c>
      <c r="H114">
        <f t="shared" si="1"/>
        <v>0.16666666666666696</v>
      </c>
    </row>
    <row r="115" spans="1:8">
      <c r="A115" s="18" t="s">
        <v>83</v>
      </c>
      <c r="B115" s="18">
        <f>VLOOKUP(A115,omop_source!$A$2:$H$179,8,FALSE)</f>
        <v>13</v>
      </c>
      <c r="C115" s="18" t="str">
        <f>VLOOKUP(A115,omop_source!$A$2:$H$179,6,FALSE)</f>
        <v>Non-registered other</v>
      </c>
      <c r="D115" s="25"/>
      <c r="E115" s="25"/>
      <c r="F115" s="21">
        <f>VLOOKUP(D115,omop_standard!$A$2:$I$38,9,FALSE)</f>
        <v>7.333333333333333</v>
      </c>
      <c r="G115" s="21" t="s">
        <v>348</v>
      </c>
      <c r="H115">
        <f t="shared" si="1"/>
        <v>5.666666666666667</v>
      </c>
    </row>
    <row r="116" spans="1:8">
      <c r="A116" s="18" t="s">
        <v>102</v>
      </c>
      <c r="B116" s="18">
        <f>VLOOKUP(A116,omop_source!$A$2:$H$179,8,FALSE)</f>
        <v>14.666666666666666</v>
      </c>
      <c r="C116" s="18" t="str">
        <f>VLOOKUP(A116,omop_source!$A$2:$H$179,6,FALSE)</f>
        <v>Non-registered other</v>
      </c>
      <c r="D116" s="25"/>
      <c r="E116" s="25"/>
      <c r="F116" s="21">
        <f>VLOOKUP(D116,omop_standard!$A$2:$I$38,9,FALSE)</f>
        <v>7.333333333333333</v>
      </c>
      <c r="G116" s="21" t="s">
        <v>348</v>
      </c>
      <c r="H116">
        <f t="shared" si="1"/>
        <v>7.333333333333333</v>
      </c>
    </row>
    <row r="117" spans="1:8">
      <c r="A117" s="18" t="s">
        <v>57</v>
      </c>
      <c r="B117" s="18">
        <f>VLOOKUP(A117,omop_source!$A$2:$H$179,8,FALSE)</f>
        <v>13</v>
      </c>
      <c r="C117" s="18" t="str">
        <f>VLOOKUP(A117,omop_source!$A$2:$H$179,6,FALSE)</f>
        <v>Non-registered other</v>
      </c>
      <c r="D117" s="25"/>
      <c r="E117" s="25"/>
      <c r="F117" s="21">
        <f>VLOOKUP(D117,omop_standard!$A$2:$I$38,9,FALSE)</f>
        <v>7.333333333333333</v>
      </c>
      <c r="G117" s="21" t="s">
        <v>348</v>
      </c>
      <c r="H117">
        <f t="shared" si="1"/>
        <v>5.666666666666667</v>
      </c>
    </row>
    <row r="118" spans="1:8">
      <c r="A118" s="18" t="s">
        <v>118</v>
      </c>
      <c r="B118" s="18">
        <f>VLOOKUP(A118,omop_source!$A$2:$H$179,8,FALSE)</f>
        <v>7.333333333333333</v>
      </c>
      <c r="C118" s="18" t="str">
        <f>VLOOKUP(A118,omop_source!$A$2:$H$179,6,FALSE)</f>
        <v>Non-registered other</v>
      </c>
      <c r="D118" s="25"/>
      <c r="E118" s="25"/>
      <c r="F118" s="21">
        <f>VLOOKUP(D118,omop_standard!$A$2:$I$38,9,FALSE)</f>
        <v>7.333333333333333</v>
      </c>
      <c r="G118" s="21" t="s">
        <v>348</v>
      </c>
      <c r="H118">
        <f t="shared" si="1"/>
        <v>0</v>
      </c>
    </row>
    <row r="119" spans="1:8">
      <c r="A119" s="18" t="s">
        <v>328</v>
      </c>
      <c r="B119" s="18">
        <f>VLOOKUP(A119,omop_source!$A$2:$H$179,8,FALSE)</f>
        <v>6.2210264075734933</v>
      </c>
      <c r="C119" s="18" t="str">
        <f>VLOOKUP(A119,omop_source!$A$2:$H$179,6,FALSE)</f>
        <v>Non-registered other</v>
      </c>
      <c r="D119" s="25"/>
      <c r="E119" s="25"/>
      <c r="F119" s="21">
        <f>VLOOKUP(D119,omop_standard!$A$2:$I$38,9,FALSE)</f>
        <v>7.333333333333333</v>
      </c>
      <c r="G119" s="21" t="s">
        <v>348</v>
      </c>
      <c r="H119">
        <f t="shared" si="1"/>
        <v>-1.1123069257598397</v>
      </c>
    </row>
    <row r="120" spans="1:8">
      <c r="A120" s="18" t="s">
        <v>134</v>
      </c>
      <c r="B120" s="18">
        <f>VLOOKUP(A120,omop_source!$A$2:$H$179,8,FALSE)</f>
        <v>4.0678624813153963</v>
      </c>
      <c r="C120" s="18" t="str">
        <f>VLOOKUP(A120,omop_source!$A$2:$H$179,6,FALSE)</f>
        <v>Non-registered other</v>
      </c>
      <c r="D120" s="25"/>
      <c r="E120" s="25"/>
      <c r="F120" s="21">
        <f>VLOOKUP(D120,omop_standard!$A$2:$I$38,9,FALSE)</f>
        <v>7.333333333333333</v>
      </c>
      <c r="G120" s="21" t="s">
        <v>348</v>
      </c>
      <c r="H120">
        <f t="shared" si="1"/>
        <v>-3.2654708520179367</v>
      </c>
    </row>
    <row r="121" spans="1:8">
      <c r="A121" s="18" t="s">
        <v>322</v>
      </c>
      <c r="B121" s="18">
        <f>VLOOKUP(A121,omop_source!$A$2:$H$179,8,FALSE)</f>
        <v>35</v>
      </c>
      <c r="C121" s="18" t="str">
        <f>VLOOKUP(A121,omop_source!$A$2:$H$179,6,FALSE)</f>
        <v>Nurse</v>
      </c>
      <c r="D121" s="25"/>
      <c r="E121" s="25"/>
      <c r="F121" s="21">
        <f>VLOOKUP(D121,omop_standard!$A$2:$I$38,9,FALSE)</f>
        <v>7.333333333333333</v>
      </c>
      <c r="G121" s="21" t="s">
        <v>348</v>
      </c>
      <c r="H121">
        <f t="shared" si="1"/>
        <v>27.666666666666668</v>
      </c>
    </row>
    <row r="122" spans="1:8">
      <c r="A122" s="18" t="s">
        <v>327</v>
      </c>
      <c r="B122" s="18">
        <f>VLOOKUP(A122,omop_source!$A$2:$H$179,8,FALSE)</f>
        <v>5.4238166417538611</v>
      </c>
      <c r="C122" s="18" t="str">
        <f>VLOOKUP(A122,omop_source!$A$2:$H$179,6,FALSE)</f>
        <v>Nurse</v>
      </c>
      <c r="D122" s="25"/>
      <c r="E122" s="25"/>
      <c r="F122" s="21">
        <f>VLOOKUP(D122,omop_standard!$A$2:$I$38,9,FALSE)</f>
        <v>7.333333333333333</v>
      </c>
      <c r="G122" s="21" t="s">
        <v>348</v>
      </c>
      <c r="H122">
        <f t="shared" si="1"/>
        <v>-1.9095166915794719</v>
      </c>
    </row>
    <row r="123" spans="1:8">
      <c r="A123" s="18" t="s">
        <v>154</v>
      </c>
      <c r="B123" s="18">
        <f>VLOOKUP(A123,omop_source!$A$2:$H$179,8,FALSE)</f>
        <v>5.4238166417538611</v>
      </c>
      <c r="C123" s="18" t="str">
        <f>VLOOKUP(A123,omop_source!$A$2:$H$179,6,FALSE)</f>
        <v>Nurse</v>
      </c>
      <c r="D123" s="25"/>
      <c r="E123" s="25"/>
      <c r="F123" s="21">
        <f>VLOOKUP(D123,omop_standard!$A$2:$I$38,9,FALSE)</f>
        <v>7.333333333333333</v>
      </c>
      <c r="G123" s="21" t="s">
        <v>348</v>
      </c>
      <c r="H123">
        <f t="shared" si="1"/>
        <v>-1.9095166915794719</v>
      </c>
    </row>
    <row r="124" spans="1:8">
      <c r="A124" s="18" t="s">
        <v>325</v>
      </c>
      <c r="B124" s="18">
        <f>VLOOKUP(A124,omop_source!$A$2:$H$179,8,FALSE)</f>
        <v>23</v>
      </c>
      <c r="C124" s="18" t="str">
        <f>VLOOKUP(A124,omop_source!$A$2:$H$179,6,FALSE)</f>
        <v>Nurse</v>
      </c>
      <c r="D124" s="25"/>
      <c r="E124" s="25"/>
      <c r="F124" s="21">
        <f>VLOOKUP(D124,omop_standard!$A$2:$I$38,9,FALSE)</f>
        <v>7.333333333333333</v>
      </c>
      <c r="G124" s="21" t="s">
        <v>348</v>
      </c>
      <c r="H124">
        <f t="shared" si="1"/>
        <v>15.666666666666668</v>
      </c>
    </row>
    <row r="125" spans="1:8">
      <c r="A125" s="18" t="s">
        <v>33</v>
      </c>
      <c r="B125" s="18">
        <f>VLOOKUP(A125,omop_source!$A$2:$H$179,8,FALSE)</f>
        <v>13</v>
      </c>
      <c r="C125" s="18" t="str">
        <f>VLOOKUP(A125,omop_source!$A$2:$H$179,6,FALSE)</f>
        <v>Nurse</v>
      </c>
      <c r="D125" s="25"/>
      <c r="E125" s="25"/>
      <c r="F125" s="21">
        <f>VLOOKUP(D125,omop_standard!$A$2:$I$38,9,FALSE)</f>
        <v>7.333333333333333</v>
      </c>
      <c r="G125" s="21" t="s">
        <v>348</v>
      </c>
      <c r="H125">
        <f t="shared" si="1"/>
        <v>5.666666666666667</v>
      </c>
    </row>
    <row r="126" spans="1:8">
      <c r="A126" s="18" t="s">
        <v>332</v>
      </c>
      <c r="B126" s="18">
        <f>VLOOKUP(A126,omop_source!$A$2:$H$179,8,FALSE)</f>
        <v>23</v>
      </c>
      <c r="C126" s="18" t="str">
        <f>VLOOKUP(A126,omop_source!$A$2:$H$179,6,FALSE)</f>
        <v>Nurse</v>
      </c>
      <c r="D126" s="25"/>
      <c r="E126" s="25"/>
      <c r="F126" s="21">
        <f>VLOOKUP(D126,omop_standard!$A$2:$I$38,9,FALSE)</f>
        <v>7.333333333333333</v>
      </c>
      <c r="G126" s="21" t="s">
        <v>348</v>
      </c>
      <c r="H126">
        <f t="shared" si="1"/>
        <v>15.666666666666668</v>
      </c>
    </row>
    <row r="127" spans="1:8">
      <c r="A127" s="18" t="s">
        <v>331</v>
      </c>
      <c r="B127" s="18">
        <f>VLOOKUP(A127,omop_source!$A$2:$H$179,8,FALSE)</f>
        <v>19.333333333333332</v>
      </c>
      <c r="C127" s="18" t="str">
        <f>VLOOKUP(A127,omop_source!$A$2:$H$179,6,FALSE)</f>
        <v>Nurse</v>
      </c>
      <c r="D127" s="25"/>
      <c r="E127" s="25"/>
      <c r="F127" s="21">
        <f>VLOOKUP(D127,omop_standard!$A$2:$I$38,9,FALSE)</f>
        <v>7.333333333333333</v>
      </c>
      <c r="G127" s="21" t="s">
        <v>348</v>
      </c>
      <c r="H127">
        <f t="shared" si="1"/>
        <v>12</v>
      </c>
    </row>
    <row r="128" spans="1:8">
      <c r="A128" s="18" t="s">
        <v>124</v>
      </c>
      <c r="B128" s="18">
        <f>VLOOKUP(A128,omop_source!$A$2:$H$179,8,FALSE)</f>
        <v>13.581315396113602</v>
      </c>
      <c r="C128" s="18" t="str">
        <f>VLOOKUP(A128,omop_source!$A$2:$H$179,6,FALSE)</f>
        <v>Nurse</v>
      </c>
      <c r="D128" s="25"/>
      <c r="E128" s="25"/>
      <c r="F128" s="21">
        <f>VLOOKUP(D128,omop_standard!$A$2:$I$38,9,FALSE)</f>
        <v>7.333333333333333</v>
      </c>
      <c r="G128" s="21" t="s">
        <v>348</v>
      </c>
      <c r="H128">
        <f t="shared" si="1"/>
        <v>6.2479820627802694</v>
      </c>
    </row>
    <row r="129" spans="1:8">
      <c r="A129" s="18" t="s">
        <v>108</v>
      </c>
      <c r="B129" s="18">
        <f>VLOOKUP(A129,omop_source!$A$2:$H$179,8,FALSE)</f>
        <v>5.4238166417538611</v>
      </c>
      <c r="C129" s="18" t="str">
        <f>VLOOKUP(A129,omop_source!$A$2:$H$179,6,FALSE)</f>
        <v>Nurse</v>
      </c>
      <c r="D129" s="25"/>
      <c r="E129" s="25"/>
      <c r="F129" s="21">
        <f>VLOOKUP(D129,omop_standard!$A$2:$I$38,9,FALSE)</f>
        <v>7.333333333333333</v>
      </c>
      <c r="G129" s="21" t="s">
        <v>348</v>
      </c>
      <c r="H129">
        <f t="shared" si="1"/>
        <v>-1.9095166915794719</v>
      </c>
    </row>
    <row r="130" spans="1:8">
      <c r="A130" s="18" t="s">
        <v>315</v>
      </c>
      <c r="B130" s="18">
        <f>VLOOKUP(A130,omop_source!$A$2:$H$179,8,FALSE)</f>
        <v>5.4238166417538611</v>
      </c>
      <c r="C130" s="18" t="str">
        <f>VLOOKUP(A130,omop_source!$A$2:$H$179,6,FALSE)</f>
        <v>Nurse</v>
      </c>
      <c r="D130" s="25"/>
      <c r="E130" s="25"/>
      <c r="F130" s="21">
        <f>VLOOKUP(D130,omop_standard!$A$2:$I$38,9,FALSE)</f>
        <v>7.333333333333333</v>
      </c>
      <c r="G130" s="21" t="s">
        <v>348</v>
      </c>
      <c r="H130">
        <f t="shared" si="1"/>
        <v>-1.9095166915794719</v>
      </c>
    </row>
    <row r="131" spans="1:8">
      <c r="A131" s="18" t="s">
        <v>91</v>
      </c>
      <c r="B131" s="18">
        <f>VLOOKUP(A131,omop_source!$A$2:$H$179,8,FALSE)</f>
        <v>5.4238166417538611</v>
      </c>
      <c r="C131" s="18" t="str">
        <f>VLOOKUP(A131,omop_source!$A$2:$H$179,6,FALSE)</f>
        <v>Nurse</v>
      </c>
      <c r="D131" s="25"/>
      <c r="E131" s="25"/>
      <c r="F131" s="21">
        <f>VLOOKUP(D131,omop_standard!$A$2:$I$38,9,FALSE)</f>
        <v>7.333333333333333</v>
      </c>
      <c r="G131" s="21" t="s">
        <v>348</v>
      </c>
      <c r="H131">
        <f t="shared" ref="H131:H179" si="2">B131-F131</f>
        <v>-1.9095166915794719</v>
      </c>
    </row>
    <row r="132" spans="1:8">
      <c r="A132" s="18" t="s">
        <v>153</v>
      </c>
      <c r="B132" s="18">
        <f>VLOOKUP(A132,omop_source!$A$2:$H$179,8,FALSE)</f>
        <v>19.333333333333332</v>
      </c>
      <c r="C132" s="18" t="str">
        <f>VLOOKUP(A132,omop_source!$A$2:$H$179,6,FALSE)</f>
        <v>Nurse</v>
      </c>
      <c r="D132" s="25"/>
      <c r="E132" s="25"/>
      <c r="F132" s="21">
        <f>VLOOKUP(D132,omop_standard!$A$2:$I$38,9,FALSE)</f>
        <v>7.333333333333333</v>
      </c>
      <c r="G132" s="21" t="s">
        <v>348</v>
      </c>
      <c r="H132">
        <f t="shared" si="2"/>
        <v>12</v>
      </c>
    </row>
    <row r="133" spans="1:8">
      <c r="A133" s="18" t="s">
        <v>61</v>
      </c>
      <c r="B133" s="18">
        <f>VLOOKUP(A133,omop_source!$A$2:$H$179,8,FALSE)</f>
        <v>55.5</v>
      </c>
      <c r="C133" s="18" t="str">
        <f>VLOOKUP(A133,omop_source!$A$2:$H$179,6,FALSE)</f>
        <v>Nurse</v>
      </c>
      <c r="D133" s="25"/>
      <c r="E133" s="25"/>
      <c r="F133" s="21">
        <f>VLOOKUP(D133,omop_standard!$A$2:$I$38,9,FALSE)</f>
        <v>7.333333333333333</v>
      </c>
      <c r="G133" s="21" t="s">
        <v>348</v>
      </c>
      <c r="H133">
        <f t="shared" si="2"/>
        <v>48.166666666666664</v>
      </c>
    </row>
    <row r="134" spans="1:8">
      <c r="A134" s="18" t="s">
        <v>317</v>
      </c>
      <c r="B134" s="18">
        <f>VLOOKUP(A134,omop_source!$A$2:$H$179,8,FALSE)</f>
        <v>4</v>
      </c>
      <c r="C134" s="18" t="str">
        <f>VLOOKUP(A134,omop_source!$A$2:$H$179,6,FALSE)</f>
        <v>Social</v>
      </c>
      <c r="D134" s="25"/>
      <c r="E134" s="25"/>
      <c r="F134" s="21">
        <f>VLOOKUP(D134,omop_standard!$A$2:$I$38,9,FALSE)</f>
        <v>7.333333333333333</v>
      </c>
      <c r="G134" s="21" t="s">
        <v>348</v>
      </c>
      <c r="H134">
        <f t="shared" si="2"/>
        <v>-3.333333333333333</v>
      </c>
    </row>
    <row r="135" spans="1:8">
      <c r="A135" s="18" t="s">
        <v>150</v>
      </c>
      <c r="B135" s="18">
        <f>VLOOKUP(A135,omop_source!$A$2:$H$179,8,FALSE)</f>
        <v>4</v>
      </c>
      <c r="C135" s="18" t="str">
        <f>VLOOKUP(A135,omop_source!$A$2:$H$179,6,FALSE)</f>
        <v>Social</v>
      </c>
      <c r="D135" s="25"/>
      <c r="E135" s="25"/>
      <c r="F135" s="21">
        <f>VLOOKUP(D135,omop_standard!$A$2:$I$38,9,FALSE)</f>
        <v>7.333333333333333</v>
      </c>
      <c r="G135" s="21" t="s">
        <v>348</v>
      </c>
      <c r="H135">
        <f t="shared" si="2"/>
        <v>-3.333333333333333</v>
      </c>
    </row>
    <row r="136" spans="1:8">
      <c r="A136" s="18" t="s">
        <v>82</v>
      </c>
      <c r="B136" s="18">
        <f>VLOOKUP(A136,omop_source!$A$2:$H$179,8,FALSE)</f>
        <v>4</v>
      </c>
      <c r="C136" s="18" t="str">
        <f>VLOOKUP(A136,omop_source!$A$2:$H$179,6,FALSE)</f>
        <v>Social</v>
      </c>
      <c r="D136" s="25"/>
      <c r="E136" s="25"/>
      <c r="F136" s="21">
        <f>VLOOKUP(D136,omop_standard!$A$2:$I$38,9,FALSE)</f>
        <v>7.333333333333333</v>
      </c>
      <c r="G136" s="21" t="s">
        <v>348</v>
      </c>
      <c r="H136">
        <f t="shared" si="2"/>
        <v>-3.333333333333333</v>
      </c>
    </row>
    <row r="137" spans="1:8">
      <c r="A137" s="18" t="s">
        <v>143</v>
      </c>
      <c r="B137" s="18">
        <f>VLOOKUP(A137,omop_source!$A$2:$H$179,8,FALSE)</f>
        <v>4</v>
      </c>
      <c r="C137" s="18" t="str">
        <f>VLOOKUP(A137,omop_source!$A$2:$H$179,6,FALSE)</f>
        <v>Social</v>
      </c>
      <c r="D137" s="25"/>
      <c r="E137" s="25"/>
      <c r="F137" s="21">
        <f>VLOOKUP(D137,omop_standard!$A$2:$I$38,9,FALSE)</f>
        <v>7.333333333333333</v>
      </c>
      <c r="G137" s="21" t="s">
        <v>348</v>
      </c>
      <c r="H137">
        <f t="shared" si="2"/>
        <v>-3.333333333333333</v>
      </c>
    </row>
    <row r="138" spans="1:8">
      <c r="A138" s="18" t="s">
        <v>123</v>
      </c>
      <c r="B138" s="18">
        <f>VLOOKUP(A138,omop_source!$A$2:$H$179,8,FALSE)</f>
        <v>4</v>
      </c>
      <c r="C138" s="18" t="str">
        <f>VLOOKUP(A138,omop_source!$A$2:$H$179,6,FALSE)</f>
        <v>Social</v>
      </c>
      <c r="D138" s="25"/>
      <c r="E138" s="25"/>
      <c r="F138" s="21">
        <f>VLOOKUP(D138,omop_standard!$A$2:$I$38,9,FALSE)</f>
        <v>7.333333333333333</v>
      </c>
      <c r="G138" s="21" t="s">
        <v>348</v>
      </c>
      <c r="H138">
        <f t="shared" si="2"/>
        <v>-3.333333333333333</v>
      </c>
    </row>
    <row r="139" spans="1:8">
      <c r="A139" s="18" t="s">
        <v>85</v>
      </c>
      <c r="B139" s="18">
        <f>VLOOKUP(A139,omop_source!$A$2:$H$179,8,FALSE)</f>
        <v>19</v>
      </c>
      <c r="C139" s="18" t="str">
        <f>VLOOKUP(A139,omop_source!$A$2:$H$179,6,FALSE)</f>
        <v>AHP</v>
      </c>
      <c r="D139" s="21">
        <v>38003659</v>
      </c>
      <c r="E139" s="21" t="s">
        <v>185</v>
      </c>
      <c r="F139" s="21">
        <f>VLOOKUP(D139,omop_standard!$A$2:$I$38,9,FALSE)</f>
        <v>19</v>
      </c>
      <c r="G139" s="21" t="str">
        <f>VLOOKUP(D139,omop_standard!$A$2:$I$38,7,FALSE)</f>
        <v>AHP</v>
      </c>
      <c r="H139">
        <f t="shared" si="2"/>
        <v>0</v>
      </c>
    </row>
    <row r="140" spans="1:8">
      <c r="A140" s="18" t="s">
        <v>62</v>
      </c>
      <c r="B140" s="18">
        <f>VLOOKUP(A140,omop_source!$A$2:$H$179,8,FALSE)</f>
        <v>14.666666666666666</v>
      </c>
      <c r="C140" s="18" t="str">
        <f>VLOOKUP(A140,omop_source!$A$2:$H$179,6,FALSE)</f>
        <v>AHP</v>
      </c>
      <c r="D140" s="21">
        <v>38003696</v>
      </c>
      <c r="E140" s="21" t="s">
        <v>62</v>
      </c>
      <c r="F140" s="21">
        <f>VLOOKUP(D140,omop_standard!$A$2:$I$38,9,FALSE)</f>
        <v>14.666666666666666</v>
      </c>
      <c r="G140" s="21" t="str">
        <f>VLOOKUP(D140,omop_standard!$A$2:$I$38,7,FALSE)</f>
        <v>AHP</v>
      </c>
      <c r="H140">
        <f t="shared" si="2"/>
        <v>0</v>
      </c>
    </row>
    <row r="141" spans="1:8">
      <c r="A141" s="18" t="s">
        <v>63</v>
      </c>
      <c r="B141" s="18">
        <f>VLOOKUP(A141,omop_source!$A$2:$H$179,8,FALSE)</f>
        <v>14.25</v>
      </c>
      <c r="C141" s="18" t="str">
        <f>VLOOKUP(A141,omop_source!$A$2:$H$179,6,FALSE)</f>
        <v>AHP</v>
      </c>
      <c r="D141" s="21">
        <v>38003696</v>
      </c>
      <c r="E141" s="21" t="s">
        <v>62</v>
      </c>
      <c r="F141" s="21">
        <f>VLOOKUP(D141,omop_standard!$A$2:$I$38,9,FALSE)</f>
        <v>14.666666666666666</v>
      </c>
      <c r="G141" s="21" t="str">
        <f>VLOOKUP(D141,omop_standard!$A$2:$I$38,7,FALSE)</f>
        <v>AHP</v>
      </c>
      <c r="H141">
        <f t="shared" si="2"/>
        <v>-0.41666666666666607</v>
      </c>
    </row>
    <row r="142" spans="1:8">
      <c r="A142" s="18" t="s">
        <v>25</v>
      </c>
      <c r="B142" s="18">
        <f>VLOOKUP(A142,omop_source!$A$2:$H$179,8,FALSE)</f>
        <v>14.25</v>
      </c>
      <c r="C142" s="18" t="str">
        <f>VLOOKUP(A142,omop_source!$A$2:$H$179,6,FALSE)</f>
        <v>AHP</v>
      </c>
      <c r="D142" s="21">
        <v>38003810</v>
      </c>
      <c r="E142" s="21" t="s">
        <v>25</v>
      </c>
      <c r="F142" s="21">
        <f>VLOOKUP(D142,omop_standard!$A$2:$I$38,9,FALSE)</f>
        <v>14.25</v>
      </c>
      <c r="G142" s="21" t="str">
        <f>VLOOKUP(D142,omop_standard!$A$2:$I$38,7,FALSE)</f>
        <v>AHP</v>
      </c>
      <c r="H142">
        <f t="shared" si="2"/>
        <v>0</v>
      </c>
    </row>
    <row r="143" spans="1:8">
      <c r="A143" s="18" t="s">
        <v>47</v>
      </c>
      <c r="B143" s="18">
        <f>VLOOKUP(A143,omop_source!$A$2:$H$179,8,FALSE)</f>
        <v>14.666666666666666</v>
      </c>
      <c r="C143" s="18" t="str">
        <f>VLOOKUP(A143,omop_source!$A$2:$H$179,6,FALSE)</f>
        <v>AHP</v>
      </c>
      <c r="D143" s="21">
        <v>38004056</v>
      </c>
      <c r="E143" s="21" t="s">
        <v>179</v>
      </c>
      <c r="F143" s="21">
        <f>VLOOKUP(D143,omop_standard!$A$2:$I$38,9,FALSE)</f>
        <v>14.666666666666666</v>
      </c>
      <c r="G143" s="21" t="str">
        <f>VLOOKUP(D143,omop_standard!$A$2:$I$38,7,FALSE)</f>
        <v>AHP</v>
      </c>
      <c r="H143">
        <f t="shared" si="2"/>
        <v>0</v>
      </c>
    </row>
    <row r="144" spans="1:8">
      <c r="A144" s="18" t="s">
        <v>65</v>
      </c>
      <c r="B144" s="18">
        <f>VLOOKUP(A144,omop_source!$A$2:$H$179,8,FALSE)</f>
        <v>14.666666666666666</v>
      </c>
      <c r="C144" s="18" t="str">
        <f>VLOOKUP(A144,omop_source!$A$2:$H$179,6,FALSE)</f>
        <v>AHP</v>
      </c>
      <c r="D144" s="21">
        <v>38004030</v>
      </c>
      <c r="E144" s="21" t="s">
        <v>180</v>
      </c>
      <c r="F144" s="21">
        <f>VLOOKUP(D144,omop_standard!$A$2:$I$38,9,FALSE)</f>
        <v>14.666666666666666</v>
      </c>
      <c r="G144" s="21" t="str">
        <f>VLOOKUP(D144,omop_standard!$A$2:$I$38,7,FALSE)</f>
        <v>AHP</v>
      </c>
      <c r="H144">
        <f t="shared" si="2"/>
        <v>0</v>
      </c>
    </row>
    <row r="145" spans="1:8">
      <c r="A145" s="18" t="s">
        <v>100</v>
      </c>
      <c r="B145" s="18">
        <f>VLOOKUP(A145,omop_source!$A$2:$H$179,8,FALSE)</f>
        <v>14.666666666666666</v>
      </c>
      <c r="C145" s="18" t="str">
        <f>VLOOKUP(A145,omop_source!$A$2:$H$179,6,FALSE)</f>
        <v>AHP</v>
      </c>
      <c r="D145" s="21">
        <v>38004176</v>
      </c>
      <c r="E145" s="21" t="s">
        <v>186</v>
      </c>
      <c r="F145" s="21">
        <f>VLOOKUP(D145,omop_standard!$A$2:$I$38,9,FALSE)</f>
        <v>14.666666666666666</v>
      </c>
      <c r="G145" s="21" t="str">
        <f>VLOOKUP(D145,omop_standard!$A$2:$I$38,7,FALSE)</f>
        <v>AHP</v>
      </c>
      <c r="H145">
        <f t="shared" si="2"/>
        <v>0</v>
      </c>
    </row>
    <row r="146" spans="1:8">
      <c r="A146" s="18" t="s">
        <v>73</v>
      </c>
      <c r="B146" s="18">
        <f>VLOOKUP(A146,omop_source!$A$2:$H$179,8,FALSE)</f>
        <v>14.666666666666666</v>
      </c>
      <c r="C146" s="18" t="str">
        <f>VLOOKUP(A146,omop_source!$A$2:$H$179,6,FALSE)</f>
        <v>AHP</v>
      </c>
      <c r="D146" s="21">
        <v>38003690</v>
      </c>
      <c r="E146" s="21" t="s">
        <v>183</v>
      </c>
      <c r="F146" s="21">
        <f>VLOOKUP(D146,omop_standard!$A$2:$I$38,9,FALSE)</f>
        <v>14.666666666666666</v>
      </c>
      <c r="G146" s="21" t="str">
        <f>VLOOKUP(D146,omop_standard!$A$2:$I$38,7,FALSE)</f>
        <v>AHP</v>
      </c>
      <c r="H146">
        <f t="shared" si="2"/>
        <v>0</v>
      </c>
    </row>
    <row r="147" spans="1:8">
      <c r="A147" s="18" t="s">
        <v>68</v>
      </c>
      <c r="B147" s="18">
        <f>VLOOKUP(A147,omop_source!$A$2:$H$179,8,FALSE)</f>
        <v>14.5</v>
      </c>
      <c r="C147" s="18" t="str">
        <f>VLOOKUP(A147,omop_source!$A$2:$H$179,6,FALSE)</f>
        <v>AHP</v>
      </c>
      <c r="D147" s="21">
        <v>38003794</v>
      </c>
      <c r="E147" s="21" t="s">
        <v>177</v>
      </c>
      <c r="F147" s="21">
        <f>VLOOKUP(D147,omop_standard!$A$2:$I$38,9,FALSE)</f>
        <v>55.5</v>
      </c>
      <c r="G147" s="21" t="str">
        <f>VLOOKUP(D147,omop_standard!$A$2:$I$38,7,FALSE)</f>
        <v>Medic non-GP</v>
      </c>
      <c r="H147">
        <f t="shared" si="2"/>
        <v>-41</v>
      </c>
    </row>
    <row r="148" spans="1:8">
      <c r="A148" s="18" t="s">
        <v>11</v>
      </c>
      <c r="B148" s="18">
        <f>VLOOKUP(A148,omop_source!$A$2:$H$179,8,FALSE)</f>
        <v>55.5</v>
      </c>
      <c r="C148" s="18" t="str">
        <f>VLOOKUP(A148,omop_source!$A$2:$H$179,6,FALSE)</f>
        <v>GP</v>
      </c>
      <c r="D148" s="21">
        <v>38004446</v>
      </c>
      <c r="E148" s="21" t="s">
        <v>160</v>
      </c>
      <c r="F148" s="21">
        <f>VLOOKUP(D148,omop_standard!$A$2:$I$38,9,FALSE)</f>
        <v>55.5</v>
      </c>
      <c r="G148" s="21" t="str">
        <f>VLOOKUP(D148,omop_standard!$A$2:$I$38,7,FALSE)</f>
        <v>GP</v>
      </c>
      <c r="H148">
        <f t="shared" si="2"/>
        <v>0</v>
      </c>
    </row>
    <row r="149" spans="1:8">
      <c r="A149" s="18" t="s">
        <v>2</v>
      </c>
      <c r="B149" s="18">
        <f>VLOOKUP(A149,omop_source!$A$2:$H$179,8,FALSE)</f>
        <v>55.5</v>
      </c>
      <c r="C149" s="18" t="str">
        <f>VLOOKUP(A149,omop_source!$A$2:$H$179,6,FALSE)</f>
        <v>GP</v>
      </c>
      <c r="D149" s="21">
        <v>38004446</v>
      </c>
      <c r="E149" s="21" t="s">
        <v>160</v>
      </c>
      <c r="F149" s="21">
        <f>VLOOKUP(D149,omop_standard!$A$2:$I$38,9,FALSE)</f>
        <v>55.5</v>
      </c>
      <c r="G149" s="21" t="str">
        <f>VLOOKUP(D149,omop_standard!$A$2:$I$38,7,FALSE)</f>
        <v>GP</v>
      </c>
      <c r="H149">
        <f t="shared" si="2"/>
        <v>0</v>
      </c>
    </row>
    <row r="150" spans="1:8">
      <c r="A150" s="18" t="s">
        <v>29</v>
      </c>
      <c r="B150" s="18">
        <f>VLOOKUP(A150,omop_source!$A$2:$H$179,8,FALSE)</f>
        <v>55.5</v>
      </c>
      <c r="C150" s="18" t="str">
        <f>VLOOKUP(A150,omop_source!$A$2:$H$179,6,FALSE)</f>
        <v>GP</v>
      </c>
      <c r="D150" s="21">
        <v>38004512</v>
      </c>
      <c r="E150" s="21" t="s">
        <v>97</v>
      </c>
      <c r="F150" s="21">
        <f>VLOOKUP(D150,omop_standard!$A$2:$I$38,9,FALSE)</f>
        <v>4.5807673143996013</v>
      </c>
      <c r="G150" s="21" t="str">
        <f>VLOOKUP(D150,omop_standard!$A$2:$I$38,7,FALSE)</f>
        <v>Non-registered other</v>
      </c>
      <c r="H150">
        <f t="shared" si="2"/>
        <v>50.919232685600399</v>
      </c>
    </row>
    <row r="151" spans="1:8">
      <c r="A151" s="18" t="s">
        <v>58</v>
      </c>
      <c r="B151" s="18">
        <f>VLOOKUP(A151,omop_source!$A$2:$H$179,8,FALSE)</f>
        <v>5.4238166417538611</v>
      </c>
      <c r="C151" s="18" t="str">
        <f>VLOOKUP(A151,omop_source!$A$2:$H$179,6,FALSE)</f>
        <v>Medic non-GP</v>
      </c>
      <c r="D151" s="21">
        <v>38004445</v>
      </c>
      <c r="E151" s="21" t="s">
        <v>181</v>
      </c>
      <c r="F151" s="21">
        <f>VLOOKUP(D151,omop_standard!$A$2:$I$38,9,FALSE)</f>
        <v>5.4238166417538611</v>
      </c>
      <c r="G151" s="21" t="str">
        <f>VLOOKUP(D151,omop_standard!$A$2:$I$38,7,FALSE)</f>
        <v>Non-registered other</v>
      </c>
      <c r="H151">
        <f t="shared" si="2"/>
        <v>0</v>
      </c>
    </row>
    <row r="152" spans="1:8">
      <c r="A152" s="18" t="s">
        <v>109</v>
      </c>
      <c r="B152" s="18">
        <f>VLOOKUP(A152,omop_source!$A$2:$H$179,8,FALSE)</f>
        <v>22.666666666666664</v>
      </c>
      <c r="C152" s="18" t="str">
        <f>VLOOKUP(A152,omop_source!$A$2:$H$179,6,FALSE)</f>
        <v>Non-registered other</v>
      </c>
      <c r="D152" s="21">
        <v>38003638</v>
      </c>
      <c r="E152" s="21" t="s">
        <v>187</v>
      </c>
      <c r="F152" s="21">
        <f>VLOOKUP(D152,omop_standard!$A$2:$I$38,9,FALSE)</f>
        <v>22.666666666666664</v>
      </c>
      <c r="G152" s="21" t="str">
        <f>VLOOKUP(D152,omop_standard!$A$2:$I$38,7,FALSE)</f>
        <v>Non-registered other</v>
      </c>
      <c r="H152">
        <f t="shared" si="2"/>
        <v>0</v>
      </c>
    </row>
    <row r="153" spans="1:8">
      <c r="A153" s="18" t="s">
        <v>5</v>
      </c>
      <c r="B153" s="18">
        <f>VLOOKUP(A153,omop_source!$A$2:$H$179,8,FALSE)</f>
        <v>55.5</v>
      </c>
      <c r="C153" s="18" t="str">
        <f>VLOOKUP(A153,omop_source!$A$2:$H$179,6,FALSE)</f>
        <v>Non-registered other</v>
      </c>
      <c r="D153" s="21">
        <v>38004376</v>
      </c>
      <c r="E153" s="21" t="s">
        <v>161</v>
      </c>
      <c r="F153" s="21">
        <f>VLOOKUP(D153,omop_standard!$A$2:$I$38,9,FALSE)</f>
        <v>74</v>
      </c>
      <c r="G153" s="21" t="str">
        <f>VLOOKUP(D153,omop_standard!$A$2:$I$38,7,FALSE)</f>
        <v>Non-registered other</v>
      </c>
      <c r="H153">
        <f t="shared" si="2"/>
        <v>-18.5</v>
      </c>
    </row>
    <row r="154" spans="1:8">
      <c r="A154" s="18" t="s">
        <v>7</v>
      </c>
      <c r="B154" s="18">
        <f>VLOOKUP(A154,omop_source!$A$2:$H$179,8,FALSE)</f>
        <v>4.5807673143996013</v>
      </c>
      <c r="C154" s="18" t="str">
        <f>VLOOKUP(A154,omop_source!$A$2:$H$179,6,FALSE)</f>
        <v>Non-registered other</v>
      </c>
      <c r="D154" s="21">
        <v>38004370</v>
      </c>
      <c r="E154" s="21" t="s">
        <v>165</v>
      </c>
      <c r="F154" s="21">
        <f>VLOOKUP(D154,omop_standard!$A$2:$I$38,9,FALSE)</f>
        <v>4.5807673143996013</v>
      </c>
      <c r="G154" s="21" t="str">
        <f>VLOOKUP(D154,omop_standard!$A$2:$I$38,7,FALSE)</f>
        <v>Non-registered other</v>
      </c>
      <c r="H154">
        <f t="shared" si="2"/>
        <v>0</v>
      </c>
    </row>
    <row r="155" spans="1:8">
      <c r="A155" s="18" t="s">
        <v>133</v>
      </c>
      <c r="B155" s="18">
        <f>VLOOKUP(A155,omop_source!$A$2:$H$179,8,FALSE)</f>
        <v>17</v>
      </c>
      <c r="C155" s="18" t="str">
        <f>VLOOKUP(A155,omop_source!$A$2:$H$179,6,FALSE)</f>
        <v>Non-registered other</v>
      </c>
      <c r="D155" s="21">
        <v>38003625</v>
      </c>
      <c r="E155" s="21" t="s">
        <v>189</v>
      </c>
      <c r="F155" s="21">
        <f>VLOOKUP(D155,omop_standard!$A$2:$I$38,9,FALSE)</f>
        <v>14.666666666666666</v>
      </c>
      <c r="G155" s="21" t="str">
        <f>VLOOKUP(D155,omop_standard!$A$2:$I$38,7,FALSE)</f>
        <v>Non-registered other</v>
      </c>
      <c r="H155">
        <f t="shared" si="2"/>
        <v>2.3333333333333339</v>
      </c>
    </row>
    <row r="156" spans="1:8">
      <c r="A156" s="18" t="s">
        <v>37</v>
      </c>
      <c r="B156" s="18">
        <f>VLOOKUP(A156,omop_source!$A$2:$H$179,8,FALSE)</f>
        <v>3.25</v>
      </c>
      <c r="C156" s="18" t="str">
        <f>VLOOKUP(A156,omop_source!$A$2:$H$179,6,FALSE)</f>
        <v>Non-registered other</v>
      </c>
      <c r="D156" s="21">
        <v>38004185</v>
      </c>
      <c r="E156" s="21" t="s">
        <v>162</v>
      </c>
      <c r="F156" s="21">
        <f>VLOOKUP(D156,omop_standard!$A$2:$I$38,9,FALSE)</f>
        <v>1.5066268061783759</v>
      </c>
      <c r="G156" s="21" t="str">
        <f>VLOOKUP(D156,omop_standard!$A$2:$I$38,7,FALSE)</f>
        <v>Admin</v>
      </c>
      <c r="H156">
        <f t="shared" si="2"/>
        <v>1.7433731938216241</v>
      </c>
    </row>
    <row r="157" spans="1:8">
      <c r="A157" s="18" t="s">
        <v>22</v>
      </c>
      <c r="B157" s="18">
        <f>VLOOKUP(A157,omop_source!$A$2:$H$179,8,FALSE)</f>
        <v>6.0265072247135034</v>
      </c>
      <c r="C157" s="18" t="str">
        <f>VLOOKUP(A157,omop_source!$A$2:$H$179,6,FALSE)</f>
        <v>Non-registered other</v>
      </c>
      <c r="D157" s="21">
        <v>38003819</v>
      </c>
      <c r="E157" s="21" t="s">
        <v>174</v>
      </c>
      <c r="F157" s="21">
        <f>VLOOKUP(D157,omop_standard!$A$2:$I$38,9,FALSE)</f>
        <v>6.0265072247135034</v>
      </c>
      <c r="G157" s="21" t="str">
        <f>VLOOKUP(D157,omop_standard!$A$2:$I$38,7,FALSE)</f>
        <v>Non-registered other</v>
      </c>
      <c r="H157">
        <f t="shared" si="2"/>
        <v>0</v>
      </c>
    </row>
    <row r="158" spans="1:8">
      <c r="A158" s="18" t="s">
        <v>40</v>
      </c>
      <c r="B158" s="18">
        <f>VLOOKUP(A158,omop_source!$A$2:$H$179,8,FALSE)</f>
        <v>13</v>
      </c>
      <c r="C158" s="18" t="str">
        <f>VLOOKUP(A158,omop_source!$A$2:$H$179,6,FALSE)</f>
        <v>Non-registered other</v>
      </c>
      <c r="D158" s="21">
        <v>38003819</v>
      </c>
      <c r="E158" s="21" t="s">
        <v>174</v>
      </c>
      <c r="F158" s="21">
        <f>VLOOKUP(D158,omop_standard!$A$2:$I$38,9,FALSE)</f>
        <v>6.0265072247135034</v>
      </c>
      <c r="G158" s="21" t="str">
        <f>VLOOKUP(D158,omop_standard!$A$2:$I$38,7,FALSE)</f>
        <v>Non-registered other</v>
      </c>
      <c r="H158">
        <f t="shared" si="2"/>
        <v>6.9734927752864966</v>
      </c>
    </row>
    <row r="159" spans="1:8">
      <c r="A159" s="18" t="s">
        <v>23</v>
      </c>
      <c r="B159" s="18">
        <f>VLOOKUP(A159,omop_source!$A$2:$H$179,8,FALSE)</f>
        <v>2.2903836571998006</v>
      </c>
      <c r="C159" s="18" t="str">
        <f>VLOOKUP(A159,omop_source!$A$2:$H$179,6,FALSE)</f>
        <v>Non-registered other</v>
      </c>
      <c r="D159" s="21">
        <v>38004145</v>
      </c>
      <c r="E159" s="21" t="s">
        <v>23</v>
      </c>
      <c r="F159" s="21">
        <f>VLOOKUP(D159,omop_standard!$A$2:$I$38,9,FALSE)</f>
        <v>2.2903836571998006</v>
      </c>
      <c r="G159" s="21" t="str">
        <f>VLOOKUP(D159,omop_standard!$A$2:$I$38,7,FALSE)</f>
        <v>Non-registered other</v>
      </c>
      <c r="H159">
        <f t="shared" si="2"/>
        <v>0</v>
      </c>
    </row>
    <row r="160" spans="1:8">
      <c r="A160" s="18" t="s">
        <v>97</v>
      </c>
      <c r="B160" s="18">
        <f>VLOOKUP(A160,omop_source!$A$2:$H$179,8,FALSE)</f>
        <v>4.5807673143996013</v>
      </c>
      <c r="C160" s="18" t="str">
        <f>VLOOKUP(A160,omop_source!$A$2:$H$179,6,FALSE)</f>
        <v>Non-registered other</v>
      </c>
      <c r="D160" s="21">
        <v>38004512</v>
      </c>
      <c r="E160" s="21" t="s">
        <v>97</v>
      </c>
      <c r="F160" s="21">
        <f>VLOOKUP(D160,omop_standard!$A$2:$I$38,9,FALSE)</f>
        <v>4.5807673143996013</v>
      </c>
      <c r="G160" s="21" t="str">
        <f>VLOOKUP(D160,omop_standard!$A$2:$I$38,7,FALSE)</f>
        <v>Non-registered other</v>
      </c>
      <c r="H160">
        <f t="shared" si="2"/>
        <v>0</v>
      </c>
    </row>
    <row r="161" spans="1:8">
      <c r="A161" s="18" t="s">
        <v>44</v>
      </c>
      <c r="B161" s="18">
        <f>VLOOKUP(A161,omop_source!$A$2:$H$179,8,FALSE)</f>
        <v>13</v>
      </c>
      <c r="C161" s="18" t="str">
        <f>VLOOKUP(A161,omop_source!$A$2:$H$179,6,FALSE)</f>
        <v>Non-registered other</v>
      </c>
      <c r="D161" s="21">
        <v>38004512</v>
      </c>
      <c r="E161" s="21" t="s">
        <v>97</v>
      </c>
      <c r="F161" s="21">
        <f>VLOOKUP(D161,omop_standard!$A$2:$I$38,9,FALSE)</f>
        <v>4.5807673143996013</v>
      </c>
      <c r="G161" s="21" t="str">
        <f>VLOOKUP(D161,omop_standard!$A$2:$I$38,7,FALSE)</f>
        <v>Non-registered other</v>
      </c>
      <c r="H161">
        <f t="shared" si="2"/>
        <v>8.4192326856003987</v>
      </c>
    </row>
    <row r="162" spans="1:8">
      <c r="A162" s="18" t="s">
        <v>10</v>
      </c>
      <c r="B162" s="18">
        <f>VLOOKUP(A162,omop_source!$A$2:$H$179,8,FALSE)</f>
        <v>2.2903836571998006</v>
      </c>
      <c r="C162" s="18" t="str">
        <f>VLOOKUP(A162,omop_source!$A$2:$H$179,6,FALSE)</f>
        <v>Non-registered other</v>
      </c>
      <c r="D162" s="21">
        <v>38004512</v>
      </c>
      <c r="E162" s="21" t="s">
        <v>97</v>
      </c>
      <c r="F162" s="21">
        <f>VLOOKUP(D162,omop_standard!$A$2:$I$38,9,FALSE)</f>
        <v>4.5807673143996013</v>
      </c>
      <c r="G162" s="21" t="str">
        <f>VLOOKUP(D162,omop_standard!$A$2:$I$38,7,FALSE)</f>
        <v>Non-registered other</v>
      </c>
      <c r="H162">
        <f t="shared" si="2"/>
        <v>-2.2903836571998006</v>
      </c>
    </row>
    <row r="163" spans="1:8">
      <c r="A163" s="18" t="s">
        <v>59</v>
      </c>
      <c r="B163" s="18">
        <f>VLOOKUP(A163,omop_source!$A$2:$H$179,8,FALSE)</f>
        <v>14.666666666666666</v>
      </c>
      <c r="C163" s="18" t="str">
        <f>VLOOKUP(A163,omop_source!$A$2:$H$179,6,FALSE)</f>
        <v>Non-registered other</v>
      </c>
      <c r="D163" s="21">
        <v>38003627</v>
      </c>
      <c r="E163" s="21" t="s">
        <v>182</v>
      </c>
      <c r="F163" s="21">
        <f>VLOOKUP(D163,omop_standard!$A$2:$I$38,9,FALSE)</f>
        <v>14.666666666666666</v>
      </c>
      <c r="G163" s="21" t="str">
        <f>VLOOKUP(D163,omop_standard!$A$2:$I$38,7,FALSE)</f>
        <v>Non-registered other</v>
      </c>
      <c r="H163">
        <f t="shared" si="2"/>
        <v>0</v>
      </c>
    </row>
    <row r="164" spans="1:8">
      <c r="A164" s="18" t="s">
        <v>138</v>
      </c>
      <c r="B164" s="18">
        <f>VLOOKUP(A164,omop_source!$A$2:$H$179,8,FALSE)</f>
        <v>13</v>
      </c>
      <c r="C164" s="18" t="str">
        <f>VLOOKUP(A164,omop_source!$A$2:$H$179,6,FALSE)</f>
        <v>Non-registered other</v>
      </c>
      <c r="D164" s="21">
        <v>38003760</v>
      </c>
      <c r="E164" s="21" t="s">
        <v>188</v>
      </c>
      <c r="F164" s="21">
        <f>VLOOKUP(D164,omop_standard!$A$2:$I$38,9,FALSE)</f>
        <v>13</v>
      </c>
      <c r="G164" s="21" t="str">
        <f>VLOOKUP(D164,omop_standard!$A$2:$I$38,7,FALSE)</f>
        <v>Non-registered other</v>
      </c>
      <c r="H164">
        <f t="shared" si="2"/>
        <v>0</v>
      </c>
    </row>
    <row r="165" spans="1:8">
      <c r="A165" s="18" t="s">
        <v>66</v>
      </c>
      <c r="B165" s="18">
        <f>VLOOKUP(A165,omop_source!$A$2:$H$179,8,FALSE)</f>
        <v>74</v>
      </c>
      <c r="C165" s="18" t="str">
        <f>VLOOKUP(A165,omop_source!$A$2:$H$179,6,FALSE)</f>
        <v>Non-registered other</v>
      </c>
      <c r="D165" s="21">
        <v>38003794</v>
      </c>
      <c r="E165" s="21" t="s">
        <v>177</v>
      </c>
      <c r="F165" s="21">
        <f>VLOOKUP(D165,omop_standard!$A$2:$I$38,9,FALSE)</f>
        <v>55.5</v>
      </c>
      <c r="G165" s="21" t="str">
        <f>VLOOKUP(D165,omop_standard!$A$2:$I$38,7,FALSE)</f>
        <v>Medic non-GP</v>
      </c>
      <c r="H165">
        <f t="shared" si="2"/>
        <v>18.5</v>
      </c>
    </row>
    <row r="166" spans="1:8">
      <c r="A166" s="18" t="s">
        <v>43</v>
      </c>
      <c r="B166" s="18">
        <f>VLOOKUP(A166,omop_source!$A$2:$H$179,8,FALSE)</f>
        <v>2.2903836571998006</v>
      </c>
      <c r="C166" s="18" t="str">
        <f>VLOOKUP(A166,omop_source!$A$2:$H$179,6,FALSE)</f>
        <v>Non-registered other</v>
      </c>
      <c r="D166" s="21">
        <v>38004371</v>
      </c>
      <c r="E166" s="21" t="s">
        <v>178</v>
      </c>
      <c r="F166" s="21">
        <f>VLOOKUP(D166,omop_standard!$A$2:$I$38,9,FALSE)</f>
        <v>2.2903836571998006</v>
      </c>
      <c r="G166" s="21" t="str">
        <f>VLOOKUP(D166,omop_standard!$A$2:$I$38,7,FALSE)</f>
        <v>Non-registered other</v>
      </c>
      <c r="H166">
        <f t="shared" si="2"/>
        <v>0</v>
      </c>
    </row>
    <row r="167" spans="1:8">
      <c r="A167" s="18" t="s">
        <v>16</v>
      </c>
      <c r="B167" s="18">
        <f>VLOOKUP(A167,omop_source!$A$2:$H$179,8,FALSE)</f>
        <v>29</v>
      </c>
      <c r="C167" s="18" t="str">
        <f>VLOOKUP(A167,omop_source!$A$2:$H$179,6,FALSE)</f>
        <v>Nurse</v>
      </c>
      <c r="D167" s="21">
        <v>38004390</v>
      </c>
      <c r="E167" s="21" t="s">
        <v>170</v>
      </c>
      <c r="F167" s="21">
        <f>VLOOKUP(D167,omop_standard!$A$2:$I$38,9,FALSE)</f>
        <v>29</v>
      </c>
      <c r="G167" s="21" t="str">
        <f>VLOOKUP(D167,omop_standard!$A$2:$I$38,7,FALSE)</f>
        <v>Nurse</v>
      </c>
      <c r="H167">
        <f t="shared" si="2"/>
        <v>0</v>
      </c>
    </row>
    <row r="168" spans="1:8">
      <c r="A168" s="18" t="s">
        <v>75</v>
      </c>
      <c r="B168" s="18">
        <f>VLOOKUP(A168,omop_source!$A$2:$H$179,8,FALSE)</f>
        <v>19.333333333333332</v>
      </c>
      <c r="C168" s="18" t="str">
        <f>VLOOKUP(A168,omop_source!$A$2:$H$179,6,FALSE)</f>
        <v>Nurse</v>
      </c>
      <c r="D168" s="21">
        <v>38004413</v>
      </c>
      <c r="E168" s="21" t="s">
        <v>184</v>
      </c>
      <c r="F168" s="21">
        <f>VLOOKUP(D168,omop_standard!$A$2:$I$38,9,FALSE)</f>
        <v>19.333333333333332</v>
      </c>
      <c r="G168" s="21" t="str">
        <f>VLOOKUP(D168,omop_standard!$A$2:$I$38,7,FALSE)</f>
        <v>Nurse</v>
      </c>
      <c r="H168">
        <f t="shared" si="2"/>
        <v>0</v>
      </c>
    </row>
    <row r="169" spans="1:8">
      <c r="A169" s="18" t="s">
        <v>119</v>
      </c>
      <c r="B169" s="18">
        <f>VLOOKUP(A169,omop_source!$A$2:$H$179,8,FALSE)</f>
        <v>19.333333333333332</v>
      </c>
      <c r="C169" s="18" t="str">
        <f>VLOOKUP(A169,omop_source!$A$2:$H$179,6,FALSE)</f>
        <v>Nurse</v>
      </c>
      <c r="D169" s="21">
        <v>38003807</v>
      </c>
      <c r="E169" s="21" t="s">
        <v>119</v>
      </c>
      <c r="F169" s="21">
        <f>VLOOKUP(D169,omop_standard!$A$2:$I$38,9,FALSE)</f>
        <v>19.333333333333332</v>
      </c>
      <c r="G169" s="21" t="str">
        <f>VLOOKUP(D169,omop_standard!$A$2:$I$38,7,FALSE)</f>
        <v>Nurse</v>
      </c>
      <c r="H169">
        <f t="shared" si="2"/>
        <v>0</v>
      </c>
    </row>
    <row r="170" spans="1:8">
      <c r="A170" s="18" t="s">
        <v>31</v>
      </c>
      <c r="B170" s="18">
        <f>VLOOKUP(A170,omop_source!$A$2:$H$179,8,FALSE)</f>
        <v>11.75</v>
      </c>
      <c r="C170" s="18" t="str">
        <f>VLOOKUP(A170,omop_source!$A$2:$H$179,6,FALSE)</f>
        <v>Nurse</v>
      </c>
      <c r="D170" s="21">
        <v>38004487</v>
      </c>
      <c r="E170" s="21" t="s">
        <v>175</v>
      </c>
      <c r="F170" s="21">
        <f>VLOOKUP(D170,omop_standard!$A$2:$I$38,9,FALSE)</f>
        <v>29</v>
      </c>
      <c r="G170" s="21" t="str">
        <f>VLOOKUP(D170,omop_standard!$A$2:$I$38,7,FALSE)</f>
        <v>Nurse</v>
      </c>
      <c r="H170">
        <f t="shared" si="2"/>
        <v>-17.25</v>
      </c>
    </row>
    <row r="171" spans="1:8">
      <c r="A171" s="18" t="s">
        <v>13</v>
      </c>
      <c r="B171" s="18">
        <f>VLOOKUP(A171,omop_source!$A$2:$H$179,8,FALSE)</f>
        <v>15.666666666666666</v>
      </c>
      <c r="C171" s="18" t="str">
        <f>VLOOKUP(A171,omop_source!$A$2:$H$179,6,FALSE)</f>
        <v>Nurse</v>
      </c>
      <c r="D171" s="21">
        <v>38003722</v>
      </c>
      <c r="E171" s="21" t="s">
        <v>168</v>
      </c>
      <c r="F171" s="21">
        <f>VLOOKUP(D171,omop_standard!$A$2:$I$38,9,FALSE)</f>
        <v>15.666666666666666</v>
      </c>
      <c r="G171" s="21" t="str">
        <f>VLOOKUP(D171,omop_standard!$A$2:$I$38,7,FALSE)</f>
        <v>Nurse</v>
      </c>
      <c r="H171">
        <f t="shared" si="2"/>
        <v>0</v>
      </c>
    </row>
    <row r="172" spans="1:8">
      <c r="A172" s="18" t="s">
        <v>32</v>
      </c>
      <c r="B172" s="18">
        <f>VLOOKUP(A172,omop_source!$A$2:$H$179,8,FALSE)</f>
        <v>17.25</v>
      </c>
      <c r="C172" s="18" t="str">
        <f>VLOOKUP(A172,omop_source!$A$2:$H$179,6,FALSE)</f>
        <v>Nurse</v>
      </c>
      <c r="D172" s="21">
        <v>38003731</v>
      </c>
      <c r="E172" s="21" t="s">
        <v>173</v>
      </c>
      <c r="F172" s="21">
        <f>VLOOKUP(D172,omop_standard!$A$2:$I$38,9,FALSE)</f>
        <v>11.75</v>
      </c>
      <c r="G172" s="21" t="str">
        <f>VLOOKUP(D172,omop_standard!$A$2:$I$38,7,FALSE)</f>
        <v>Nurse</v>
      </c>
      <c r="H172">
        <f t="shared" si="2"/>
        <v>5.5</v>
      </c>
    </row>
    <row r="173" spans="1:8">
      <c r="A173" s="18" t="s">
        <v>34</v>
      </c>
      <c r="B173" s="18">
        <f>VLOOKUP(A173,omop_source!$A$2:$H$179,8,FALSE)</f>
        <v>26.25</v>
      </c>
      <c r="C173" s="18" t="str">
        <f>VLOOKUP(A173,omop_source!$A$2:$H$179,6,FALSE)</f>
        <v>Nurse</v>
      </c>
      <c r="D173" s="21">
        <v>38003731</v>
      </c>
      <c r="E173" s="21" t="s">
        <v>173</v>
      </c>
      <c r="F173" s="21">
        <f>VLOOKUP(D173,omop_standard!$A$2:$I$38,9,FALSE)</f>
        <v>11.75</v>
      </c>
      <c r="G173" s="21" t="str">
        <f>VLOOKUP(D173,omop_standard!$A$2:$I$38,7,FALSE)</f>
        <v>Nurse</v>
      </c>
      <c r="H173">
        <f t="shared" si="2"/>
        <v>14.5</v>
      </c>
    </row>
    <row r="174" spans="1:8">
      <c r="A174" s="18" t="s">
        <v>70</v>
      </c>
      <c r="B174" s="18">
        <f>VLOOKUP(A174,omop_source!$A$2:$H$179,8,FALSE)</f>
        <v>19.25</v>
      </c>
      <c r="C174" s="18" t="str">
        <f>VLOOKUP(A174,omop_source!$A$2:$H$179,6,FALSE)</f>
        <v>Nurse</v>
      </c>
      <c r="D174" s="21">
        <v>38003731</v>
      </c>
      <c r="E174" s="21" t="s">
        <v>173</v>
      </c>
      <c r="F174" s="21">
        <f>VLOOKUP(D174,omop_standard!$A$2:$I$38,9,FALSE)</f>
        <v>11.75</v>
      </c>
      <c r="G174" s="21" t="str">
        <f>VLOOKUP(D174,omop_standard!$A$2:$I$38,7,FALSE)</f>
        <v>Nurse</v>
      </c>
      <c r="H174">
        <f t="shared" si="2"/>
        <v>7.5</v>
      </c>
    </row>
    <row r="175" spans="1:8">
      <c r="A175" s="18" t="s">
        <v>21</v>
      </c>
      <c r="B175" s="18">
        <f>VLOOKUP(A175,omop_source!$A$2:$H$179,8,FALSE)</f>
        <v>15.666666666666666</v>
      </c>
      <c r="C175" s="18" t="str">
        <f>VLOOKUP(A175,omop_source!$A$2:$H$179,6,FALSE)</f>
        <v>Nurse</v>
      </c>
      <c r="D175" s="21">
        <v>38003716</v>
      </c>
      <c r="E175" s="21" t="s">
        <v>171</v>
      </c>
      <c r="F175" s="21">
        <f>VLOOKUP(D175,omop_standard!$A$2:$I$38,9,FALSE)</f>
        <v>15.666666666666666</v>
      </c>
      <c r="G175" s="21" t="str">
        <f>VLOOKUP(D175,omop_standard!$A$2:$I$38,7,FALSE)</f>
        <v>Nurse</v>
      </c>
      <c r="H175">
        <f t="shared" si="2"/>
        <v>0</v>
      </c>
    </row>
    <row r="176" spans="1:8">
      <c r="A176" s="18" t="s">
        <v>30</v>
      </c>
      <c r="B176" s="18">
        <f>VLOOKUP(A176,omop_source!$A$2:$H$179,8,FALSE)</f>
        <v>19.333333333333332</v>
      </c>
      <c r="C176" s="18" t="str">
        <f>VLOOKUP(A176,omop_source!$A$2:$H$179,6,FALSE)</f>
        <v>Nurse</v>
      </c>
      <c r="D176" s="21">
        <v>38003716</v>
      </c>
      <c r="E176" s="21" t="s">
        <v>171</v>
      </c>
      <c r="F176" s="21">
        <f>VLOOKUP(D176,omop_standard!$A$2:$I$38,9,FALSE)</f>
        <v>15.666666666666666</v>
      </c>
      <c r="G176" s="21" t="str">
        <f>VLOOKUP(D176,omop_standard!$A$2:$I$38,7,FALSE)</f>
        <v>Nurse</v>
      </c>
      <c r="H176">
        <f t="shared" si="2"/>
        <v>3.6666666666666661</v>
      </c>
    </row>
    <row r="177" spans="1:8">
      <c r="A177" s="18" t="s">
        <v>52</v>
      </c>
      <c r="B177" s="18">
        <f>VLOOKUP(A177,omop_source!$A$2:$H$179,8,FALSE)</f>
        <v>19.333333333333332</v>
      </c>
      <c r="C177" s="18" t="str">
        <f>VLOOKUP(A177,omop_source!$A$2:$H$179,6,FALSE)</f>
        <v>Nurse</v>
      </c>
      <c r="D177" s="21">
        <v>38003794</v>
      </c>
      <c r="E177" s="21" t="s">
        <v>177</v>
      </c>
      <c r="F177" s="21">
        <f>VLOOKUP(D177,omop_standard!$A$2:$I$38,9,FALSE)</f>
        <v>55.5</v>
      </c>
      <c r="G177" s="21" t="str">
        <f>VLOOKUP(D177,omop_standard!$A$2:$I$38,7,FALSE)</f>
        <v>Medic non-GP</v>
      </c>
      <c r="H177">
        <f t="shared" si="2"/>
        <v>-36.166666666666671</v>
      </c>
    </row>
    <row r="178" spans="1:8">
      <c r="A178" s="18" t="s">
        <v>54</v>
      </c>
      <c r="B178" s="18">
        <f>VLOOKUP(A178,omop_source!$A$2:$H$179,8,FALSE)</f>
        <v>3.1105132037867467</v>
      </c>
      <c r="C178" s="18" t="str">
        <f>VLOOKUP(A178,omop_source!$A$2:$H$179,6,FALSE)</f>
        <v>Service</v>
      </c>
      <c r="D178" s="21">
        <v>38003789</v>
      </c>
      <c r="E178" s="21" t="s">
        <v>169</v>
      </c>
      <c r="F178" s="21">
        <f>VLOOKUP(D178,omop_standard!$A$2:$I$38,9,FALSE)</f>
        <v>3.1105132037867467</v>
      </c>
      <c r="G178" s="21" t="str">
        <f>VLOOKUP(D178,omop_standard!$A$2:$I$38,7,FALSE)</f>
        <v>Service</v>
      </c>
      <c r="H178">
        <f t="shared" si="2"/>
        <v>0</v>
      </c>
    </row>
    <row r="179" spans="1:8">
      <c r="A179" s="18" t="s">
        <v>114</v>
      </c>
      <c r="B179" s="18">
        <f>VLOOKUP(A179,omop_source!$A$2:$H$180,8,FALSE)</f>
        <v>4</v>
      </c>
      <c r="C179" s="18" t="str">
        <f>VLOOKUP(A179,omop_source!$A$2:$H$180,6,FALSE)</f>
        <v>Social</v>
      </c>
      <c r="D179" s="21">
        <v>38004499</v>
      </c>
      <c r="E179" s="21" t="s">
        <v>114</v>
      </c>
      <c r="F179" s="21">
        <f>VLOOKUP(D179,omop_standard!$A$2:$I$38,9,FALSE)</f>
        <v>4</v>
      </c>
      <c r="G179" s="21" t="str">
        <f>VLOOKUP(D179,omop_standard!$A$2:$I$38,7,FALSE)</f>
        <v>Social</v>
      </c>
      <c r="H179">
        <f t="shared" si="2"/>
        <v>0</v>
      </c>
    </row>
  </sheetData>
  <autoFilter ref="A1:G180" xr:uid="{E6A07719-78DA-445D-B0EA-F09CBDBF1B47}">
    <sortState xmlns:xlrd2="http://schemas.microsoft.com/office/spreadsheetml/2017/richdata2" ref="A19:G180">
      <sortCondition ref="C1:C18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B1DC-0936-4082-9C45-DE37E4E6918D}">
  <dimension ref="D2:O35"/>
  <sheetViews>
    <sheetView workbookViewId="0">
      <selection activeCell="D36" sqref="D36"/>
    </sheetView>
  </sheetViews>
  <sheetFormatPr defaultColWidth="9.109375" defaultRowHeight="14.4"/>
  <cols>
    <col min="1" max="16384" width="9.109375" style="2"/>
  </cols>
  <sheetData>
    <row r="2" spans="4:15">
      <c r="D2" s="3" t="s">
        <v>192</v>
      </c>
    </row>
    <row r="4" spans="4:15">
      <c r="D4" s="3" t="s">
        <v>193</v>
      </c>
      <c r="O4" s="3" t="s">
        <v>194</v>
      </c>
    </row>
    <row r="7" spans="4:15">
      <c r="D7" s="2" t="s">
        <v>195</v>
      </c>
      <c r="O7" s="2" t="s">
        <v>196</v>
      </c>
    </row>
    <row r="8" spans="4:15">
      <c r="D8" s="2" t="s">
        <v>197</v>
      </c>
      <c r="O8" s="2" t="s">
        <v>198</v>
      </c>
    </row>
    <row r="9" spans="4:15">
      <c r="D9" s="2" t="s">
        <v>199</v>
      </c>
      <c r="O9" s="2" t="s">
        <v>200</v>
      </c>
    </row>
    <row r="10" spans="4:15">
      <c r="D10" s="2" t="s">
        <v>201</v>
      </c>
      <c r="O10" s="2" t="s">
        <v>349</v>
      </c>
    </row>
    <row r="11" spans="4:15">
      <c r="O11" s="2" t="s">
        <v>202</v>
      </c>
    </row>
    <row r="12" spans="4:15">
      <c r="O12" s="2" t="s">
        <v>350</v>
      </c>
    </row>
    <row r="13" spans="4:15">
      <c r="D13" s="2" t="s">
        <v>203</v>
      </c>
    </row>
    <row r="14" spans="4:15">
      <c r="D14" s="2" t="s">
        <v>204</v>
      </c>
    </row>
    <row r="15" spans="4:15">
      <c r="O15" s="2" t="s">
        <v>205</v>
      </c>
    </row>
    <row r="16" spans="4:15">
      <c r="D16" s="2" t="s">
        <v>205</v>
      </c>
      <c r="O16" s="2" t="s">
        <v>351</v>
      </c>
    </row>
    <row r="17" spans="4:15">
      <c r="D17" s="2" t="s">
        <v>206</v>
      </c>
      <c r="O17" s="2" t="s">
        <v>352</v>
      </c>
    </row>
    <row r="18" spans="4:15">
      <c r="D18" s="2" t="s">
        <v>207</v>
      </c>
      <c r="O18" s="2" t="s">
        <v>208</v>
      </c>
    </row>
    <row r="19" spans="4:15">
      <c r="D19" s="2" t="s">
        <v>209</v>
      </c>
      <c r="O19" s="2" t="s">
        <v>353</v>
      </c>
    </row>
    <row r="20" spans="4:15">
      <c r="D20" s="2" t="s">
        <v>210</v>
      </c>
      <c r="O20" s="2" t="s">
        <v>354</v>
      </c>
    </row>
    <row r="21" spans="4:15">
      <c r="D21" s="2" t="s">
        <v>211</v>
      </c>
      <c r="O21" s="2" t="s">
        <v>355</v>
      </c>
    </row>
    <row r="22" spans="4:15">
      <c r="O22" s="2" t="s">
        <v>356</v>
      </c>
    </row>
    <row r="23" spans="4:15">
      <c r="D23" s="2" t="s">
        <v>212</v>
      </c>
    </row>
    <row r="24" spans="4:15">
      <c r="D24" s="2" t="s">
        <v>213</v>
      </c>
    </row>
    <row r="27" spans="4:15">
      <c r="D27" s="3" t="s">
        <v>214</v>
      </c>
    </row>
    <row r="28" spans="4:15">
      <c r="D28" s="2" t="s">
        <v>215</v>
      </c>
    </row>
    <row r="29" spans="4:15">
      <c r="D29" s="2" t="s">
        <v>216</v>
      </c>
    </row>
    <row r="30" spans="4:15">
      <c r="D30" s="2" t="s">
        <v>217</v>
      </c>
    </row>
    <row r="31" spans="4:15">
      <c r="D31" s="2" t="s">
        <v>218</v>
      </c>
    </row>
    <row r="32" spans="4:15">
      <c r="D32" s="2" t="s">
        <v>219</v>
      </c>
    </row>
    <row r="34" spans="4:4">
      <c r="D34" s="3" t="s">
        <v>344</v>
      </c>
    </row>
    <row r="35" spans="4:4">
      <c r="D35" s="2" t="s">
        <v>357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b75f3a-874c-408d-a806-d7f3e6e8c6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82773F43766A499835CC578A468AA5" ma:contentTypeVersion="13" ma:contentTypeDescription="Create a new document." ma:contentTypeScope="" ma:versionID="3e283e4dfac8145223aed60363ec6d7b">
  <xsd:schema xmlns:xsd="http://www.w3.org/2001/XMLSchema" xmlns:xs="http://www.w3.org/2001/XMLSchema" xmlns:p="http://schemas.microsoft.com/office/2006/metadata/properties" xmlns:ns3="23b75f3a-874c-408d-a806-d7f3e6e8c69e" xmlns:ns4="b7fa4fdd-4bb0-49ae-bd19-51a8e137ac36" targetNamespace="http://schemas.microsoft.com/office/2006/metadata/properties" ma:root="true" ma:fieldsID="0f31fbf1546f85e83668de52698bbf0a" ns3:_="" ns4:_="">
    <xsd:import namespace="23b75f3a-874c-408d-a806-d7f3e6e8c69e"/>
    <xsd:import namespace="b7fa4fdd-4bb0-49ae-bd19-51a8e137ac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75f3a-874c-408d-a806-d7f3e6e8c6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a4fdd-4bb0-49ae-bd19-51a8e137ac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CD590F-80B3-42A6-94B2-E4FCED13FAA4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23b75f3a-874c-408d-a806-d7f3e6e8c69e"/>
    <ds:schemaRef ds:uri="http://schemas.microsoft.com/office/infopath/2007/PartnerControls"/>
    <ds:schemaRef ds:uri="http://schemas.openxmlformats.org/package/2006/metadata/core-properties"/>
    <ds:schemaRef ds:uri="b7fa4fdd-4bb0-49ae-bd19-51a8e137ac36"/>
  </ds:schemaRefs>
</ds:datastoreItem>
</file>

<file path=customXml/itemProps2.xml><?xml version="1.0" encoding="utf-8"?>
<ds:datastoreItem xmlns:ds="http://schemas.openxmlformats.org/officeDocument/2006/customXml" ds:itemID="{CC485943-DEE3-4224-BBD1-26D29FF54D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D188A2-B45F-4C54-8361-C2D76456C8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75f3a-874c-408d-a806-d7f3e6e8c69e"/>
    <ds:schemaRef ds:uri="b7fa4fdd-4bb0-49ae-bd19-51a8e137ac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source_cprd_aurum</vt:lpstr>
      <vt:lpstr>omop_standard</vt:lpstr>
      <vt:lpstr>omop_source</vt:lpstr>
      <vt:lpstr>master_omop_stand_source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Gianluca Fabiano</cp:lastModifiedBy>
  <cp:revision/>
  <cp:lastPrinted>2025-07-22T14:03:57Z</cp:lastPrinted>
  <dcterms:created xsi:type="dcterms:W3CDTF">2025-07-03T15:30:13Z</dcterms:created>
  <dcterms:modified xsi:type="dcterms:W3CDTF">2026-03-05T17:32:38Z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0x010100F082773F43766A499835CC578A468AA5</vt:lpwstr>
  </property>
  <property fmtid="{D5CDD505-2E9C-101B-9397-08002B2CF9AE}" pid="3" name="MediaServiceImageTags">
    <vt:lpwstr/>
  </property>
</Properties>
</file>