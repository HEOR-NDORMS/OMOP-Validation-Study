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0" documentId="8_{866362ED-BEB3-451C-87A7-38CC27744AE5}" xr6:coauthVersionLast="47" xr6:coauthVersionMax="47" xr10:uidLastSave="{00000000-0000-0000-0000-000000000000}"/>
  <bookViews>
    <workbookView xWindow="-120" yWindow="-120" windowWidth="29040" windowHeight="15720" xr2:uid="{46870897-BCFD-414C-A471-BD3159C3E0A3}"/>
  </bookViews>
  <sheets>
    <sheet name="Sheet1" sheetId="1" r:id="rId1"/>
  </sheets>
  <definedNames>
    <definedName name="_xlnm._FilterDatabase" localSheetId="0" hidden="1">Sheet1!$A$1:$H$63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" l="1"/>
  <c r="E62" i="1"/>
  <c r="E47" i="1"/>
  <c r="E44" i="1"/>
  <c r="E17" i="1"/>
  <c r="E16" i="1"/>
  <c r="E41" i="1"/>
  <c r="E40" i="1"/>
  <c r="E37" i="1"/>
  <c r="E35" i="1"/>
  <c r="E26" i="1"/>
  <c r="E38" i="1"/>
  <c r="E33" i="1"/>
  <c r="E32" i="1"/>
  <c r="E55" i="1"/>
  <c r="E54" i="1"/>
  <c r="E53" i="1"/>
  <c r="E52" i="1"/>
  <c r="E29" i="1"/>
  <c r="E27" i="1"/>
  <c r="E28" i="1"/>
  <c r="E56" i="1"/>
  <c r="E25" i="1"/>
  <c r="E24" i="1"/>
  <c r="E13" i="1"/>
  <c r="E12" i="1"/>
  <c r="E8" i="1"/>
  <c r="E4" i="1"/>
  <c r="E3" i="1"/>
</calcChain>
</file>

<file path=xl/sharedStrings.xml><?xml version="1.0" encoding="utf-8"?>
<sst xmlns="http://schemas.openxmlformats.org/spreadsheetml/2006/main" count="348" uniqueCount="137">
  <si>
    <t>specialty_concept_id</t>
  </si>
  <si>
    <t>concept_name</t>
  </si>
  <si>
    <t>specialty_source_value</t>
  </si>
  <si>
    <t>unit_cost</t>
  </si>
  <si>
    <t>Notes</t>
  </si>
  <si>
    <t>specialty_source_value_summarised</t>
  </si>
  <si>
    <t>Other Technician</t>
  </si>
  <si>
    <t>Receptionist</t>
  </si>
  <si>
    <t>Paramedic</t>
  </si>
  <si>
    <t>Other</t>
  </si>
  <si>
    <t>Secretary</t>
  </si>
  <si>
    <t>Registered Record Administrator</t>
  </si>
  <si>
    <t>System Administrator</t>
  </si>
  <si>
    <t>Professional Behavioral Health Counselor</t>
  </si>
  <si>
    <t>Counsellor</t>
  </si>
  <si>
    <t>Community-based scientific and professional staff, band 5(Physiotherapist, Occupational Therapist, Speech and Language Therapist, Podiatrist, Clinical psychology assistant practitioner (higher level), Counsellor (entry level). Cost per working hour</t>
  </si>
  <si>
    <t>Pharmacist</t>
  </si>
  <si>
    <t>Mental Retardation and Developmental Disability Psychologist</t>
  </si>
  <si>
    <t>Support, Time, Recovery Worker</t>
  </si>
  <si>
    <t>Community Health Worker</t>
  </si>
  <si>
    <t>Other Community Health Service</t>
  </si>
  <si>
    <t>Hospital -based nurses, Band 6, cost per hour (£52), assumed 15 min consultation and 2.5 ratio paid hours.</t>
  </si>
  <si>
    <t>Case Manager / Care Coordinator</t>
  </si>
  <si>
    <t>Senior Manager</t>
  </si>
  <si>
    <t>Health Records Administrator</t>
  </si>
  <si>
    <t>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2015).</t>
  </si>
  <si>
    <t>Registered General Practice Nurse</t>
  </si>
  <si>
    <t>Modern Matron</t>
  </si>
  <si>
    <t>Nurse</t>
  </si>
  <si>
    <t>Student</t>
  </si>
  <si>
    <t>Medical Student</t>
  </si>
  <si>
    <t>Physician Assistant</t>
  </si>
  <si>
    <t>Assistant Practitioner</t>
  </si>
  <si>
    <t>General Practice</t>
  </si>
  <si>
    <t>Salaried General Practitioner</t>
  </si>
  <si>
    <t>Cost per surgery consultation lasting 10 minutes - GP (including direct care staffcosts, without qualification)</t>
  </si>
  <si>
    <t>General Practitioner</t>
  </si>
  <si>
    <t>Behavioral Health &amp; Social Service Providers, Psychologist, Clinical</t>
  </si>
  <si>
    <t>Clinical Psychologist</t>
  </si>
  <si>
    <t>Hospital-based doctors, Consultant medical, Cost per working hour (including qualifications) (143), assumed 30 minutes</t>
  </si>
  <si>
    <t>Specialist</t>
  </si>
  <si>
    <t>Specialist Practitioner</t>
  </si>
  <si>
    <t>Surgical Physician Assistant</t>
  </si>
  <si>
    <t>Clinical Assistant</t>
  </si>
  <si>
    <t>Social Worker</t>
  </si>
  <si>
    <t>Social care staff, Social worker (adult services), Cost per hour without qualification</t>
  </si>
  <si>
    <t>No matching concept</t>
  </si>
  <si>
    <t>Sessional GP</t>
  </si>
  <si>
    <t>Consultant</t>
  </si>
  <si>
    <t>Mental Health Counselor</t>
  </si>
  <si>
    <t>Gateway Worker</t>
  </si>
  <si>
    <t>Pharmacy Technician</t>
  </si>
  <si>
    <t>Dispenser</t>
  </si>
  <si>
    <t>System Worker</t>
  </si>
  <si>
    <t>Medical Records Clerk</t>
  </si>
  <si>
    <t>Physician Office Based Coding Specialist</t>
  </si>
  <si>
    <t>Clinical Coder</t>
  </si>
  <si>
    <t>Advanced Practitioner</t>
  </si>
  <si>
    <t>Nurse Practitioner</t>
  </si>
  <si>
    <t>Associate Practitioner - Nurse</t>
  </si>
  <si>
    <t>Nurse (Community), Nurse (Schools), Nurse (Learning disabilities), Band 5, Cost per hour face-to-face time, duration of contact 15.5 minutes per surgery consultation based on the 2006/07 UK general practice survey (PSSRU 2015).</t>
  </si>
  <si>
    <t>Desktop Support Technician</t>
  </si>
  <si>
    <t>Radiography Technologist</t>
  </si>
  <si>
    <t>Radiographer</t>
  </si>
  <si>
    <t>Paramedic Specialist Practitioner</t>
  </si>
  <si>
    <t>Marriage and Family Therapist</t>
  </si>
  <si>
    <t>Therapist</t>
  </si>
  <si>
    <t>Physiotherapist specialist, occupational therapist specialist, speech and language therapist, podiatrist specialist, clinical psychology trainee, counsellor, pharmacist, arts therapist (entry level)</t>
  </si>
  <si>
    <t>Phlebotomist</t>
  </si>
  <si>
    <t>Nurse Manager</t>
  </si>
  <si>
    <t>Healthcare Assistant</t>
  </si>
  <si>
    <t>Health Information Technician</t>
  </si>
  <si>
    <t>Analyst</t>
  </si>
  <si>
    <t>Community Administrator</t>
  </si>
  <si>
    <t>Registered Nurse</t>
  </si>
  <si>
    <t>Sister/Charge Nurse</t>
  </si>
  <si>
    <t>Hospital based nurses, Staff nurse, midwife (entry level), theatre nurse, Band 5 Cost per hour</t>
  </si>
  <si>
    <t>Clinical Nurse Specialist</t>
  </si>
  <si>
    <t>Specialist Nurse Practitioner</t>
  </si>
  <si>
    <t>General Medical Practitioner</t>
  </si>
  <si>
    <t>Locum GP</t>
  </si>
  <si>
    <t>Registered Dietitian</t>
  </si>
  <si>
    <t>Dietitian</t>
  </si>
  <si>
    <t>Hospital-based scientific and professional staff, band 5, Cost per working hour</t>
  </si>
  <si>
    <t>Senior Administrator</t>
  </si>
  <si>
    <t>Medical Secretary</t>
  </si>
  <si>
    <t>GP Registrar</t>
  </si>
  <si>
    <t>Associate Specialist</t>
  </si>
  <si>
    <t>Medical Physician Assistant</t>
  </si>
  <si>
    <t>Health Care Support Worker</t>
  </si>
  <si>
    <t>Nurse associate practitioner (community), Nurse associate practitioner (Mental Health), Nursery nurse (Community), Band 4. duration of contact 15.5 minutes per surgery consultation based on the 2006/07 UK general practice survey</t>
  </si>
  <si>
    <t>Physical Hand Therapist</t>
  </si>
  <si>
    <t>Physiotherapist</t>
  </si>
  <si>
    <t>Manager</t>
  </si>
  <si>
    <t>Medical Technical Officer - Pharmacy</t>
  </si>
  <si>
    <t>Pharmacy technician (community-based scientific and professional staff band 4) per working hour = £36, assuming 10 mins per encounter</t>
  </si>
  <si>
    <t>Nurse Consultant</t>
  </si>
  <si>
    <t>Registered Community Health Nurse</t>
  </si>
  <si>
    <t>Community Nurse</t>
  </si>
  <si>
    <t>Podiatrist</t>
  </si>
  <si>
    <t>Chiropodist/Podiatrist</t>
  </si>
  <si>
    <t>Community Psych / Mental Health Nurse</t>
  </si>
  <si>
    <t>Community Mental Health Nurse</t>
  </si>
  <si>
    <t>Helpdesk Administrator</t>
  </si>
  <si>
    <t>Desktop Support Administrator</t>
  </si>
  <si>
    <t>Registered School Nurse</t>
  </si>
  <si>
    <t>Nursery Nurse</t>
  </si>
  <si>
    <t>Midwife</t>
  </si>
  <si>
    <t>Clerical Worker</t>
  </si>
  <si>
    <t>Staff Nurse</t>
  </si>
  <si>
    <t>Community Health Nurse Practitioner</t>
  </si>
  <si>
    <t>Community Practitioner</t>
  </si>
  <si>
    <t>Associate Practitioner - General Practitioner</t>
  </si>
  <si>
    <t>specialty_concept_summarised</t>
  </si>
  <si>
    <t>Uncategorised</t>
  </si>
  <si>
    <t>Average of "Cost per surgery consultation lasting 10 minutes - GP (including direct care staffcosts, without qualification) £42" and "Hospital-based doctors, Consultant medical, Cost per working hour (including qualifications) (143), assumed 30 minutes £71.5"</t>
  </si>
  <si>
    <t>Mean of "Cost per working hour (£47), qualified nurses, assuming 30 min encounter: £23.5" and "Cost per working hours, Qualified nurse Band 6 (£57), assuming 30 min encounter:£28.5"</t>
  </si>
  <si>
    <t>Mean of: "Hospital -based nurses, Band 6, cost per hour (£52), assumed 15 min consultation and 2.5 ratio paid hours: £31.7" and "Hospital based nurses, Staff nurse, midwife (entry level), theatre nurse, Band 5 Cost per hour: £:42"</t>
  </si>
  <si>
    <t>Mean of: "Hospital -based nurses, Band 6, cost per hour (£52), assumed 15 min consultation and 2.5 ratio paid hours:31.72" and "Nurse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2015): 26.75" and "</t>
  </si>
  <si>
    <t>Administrative Non-clinical</t>
  </si>
  <si>
    <t>Source</t>
  </si>
  <si>
    <t>Unit Costs of Health and Social Care 2023 Manual (2024)</t>
  </si>
  <si>
    <t>Based on estimated 5-minute encounter applied to mean basic salary per full-time equivalent at 251.9 working days per year</t>
  </si>
  <si>
    <t>Based on estimated 5-minute encounter applied to mean basic salary per full-time equivalent of "Admin and Clerical" role at 251.9 working days per year</t>
  </si>
  <si>
    <t xml:space="preserve">Based on a 5-minute encounter applied to mean basic salary per full-time equivalent of mean annual basic pay per FTE for allied health professional staff by Agenda for Change under Band 6 at 251.9 working days per year </t>
  </si>
  <si>
    <t xml:space="preserve">Based on a 5-minute encounter applied to mean annual basic pay per FTE for non-medical occupational groupings: Healthcare assistants and other support staff at 251.9 working days per year </t>
  </si>
  <si>
    <t>Based on 5 minutes of Support and outreach worker over reported cost per hour</t>
  </si>
  <si>
    <t>Based on estimated 5-minute encounter applied to mean basic salary per full-time equivalent of Manager at 251.9 working days per year</t>
  </si>
  <si>
    <t>Based on estimated 5-minute encounter applied to mean basic salary per full-time equivalent of Senior Manager at 251.9 working days per year</t>
  </si>
  <si>
    <t xml:space="preserve">Based on a 10-minute encounter applied to mean annual basic pay per FTE for non-medical occupational groupings: Healthcare assistants and other support staff at 251.9 working days per year </t>
  </si>
  <si>
    <t xml:space="preserve">Based on a 5-minute encounter applied to mean annual basic pay per FTE for allied health professional staff by Agenda for Change band, band 4, at 251.9 working days per year </t>
  </si>
  <si>
    <t xml:space="preserve">Based on a 5-minute encounter applied to mean annual basic pay per FTE for allied health professional staff by Agenda for Change band, band 7, at 251.9 working days per year </t>
  </si>
  <si>
    <t>Based on 5 minutes of Band 7 qualified nurse over reported cost per working hour</t>
  </si>
  <si>
    <t>Based on 5 minutes of Social work assistant over reported cost per hour</t>
  </si>
  <si>
    <t xml:space="preserve">Based on a 5-minute encounter applied to  annual basic pay per FTE for nursing, midwifery &amp; health visiting staff by Agenda for Change band, band 8a, at 251.9 working days per year </t>
  </si>
  <si>
    <t xml:space="preserve">Based on a 5-minute encounter applied to mean annual basic pay per FTE for non-medical occupational groupings: Nursing, midwifery and health visiting learners at 251.9 working days per year </t>
  </si>
  <si>
    <t>is_clinically_relevant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</si>
</sst>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2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08DF-AC8E-4A47-8381-A0A0F45C789A}">
  <dimension ref="A1:I63"/>
  <sheetViews>
    <sheetView tabSelected="1" zoomScale="130" zoomScaleNormal="130" workbookViewId="0">
      <pane ySplit="1" topLeftCell="A2" activePane="bottomLeft" state="frozen"/>
      <selection pane="bottomLeft" activeCell="E32" sqref="E32"/>
    </sheetView>
  </sheetViews>
  <sheetFormatPr defaultColWidth="8.85546875" defaultRowHeight="15" x14ac:dyDescent="0.25"/>
  <cols>
    <col min="1" max="1" width="24.7109375" bestFit="1" customWidth="1"/>
    <col min="2" max="2" width="61" bestFit="1" customWidth="1"/>
    <col min="3" max="3" width="40.42578125" customWidth="1"/>
    <col min="4" max="4" width="22.42578125" customWidth="1"/>
    <col min="5" max="5" width="13.85546875" customWidth="1"/>
    <col min="6" max="6" width="38.28515625" customWidth="1"/>
    <col min="7" max="7" width="30.7109375" customWidth="1"/>
    <col min="8" max="8" width="30.85546875" bestFit="1" customWidth="1"/>
    <col min="9" max="9" width="44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136</v>
      </c>
      <c r="E1" s="1" t="s">
        <v>3</v>
      </c>
      <c r="F1" s="1" t="s">
        <v>4</v>
      </c>
      <c r="G1" s="1" t="s">
        <v>5</v>
      </c>
      <c r="H1" s="1" t="s">
        <v>113</v>
      </c>
      <c r="I1" s="4" t="s">
        <v>120</v>
      </c>
    </row>
    <row r="2" spans="1:9" x14ac:dyDescent="0.25">
      <c r="A2">
        <v>38003638</v>
      </c>
      <c r="B2" t="s">
        <v>37</v>
      </c>
      <c r="C2" t="s">
        <v>38</v>
      </c>
      <c r="D2">
        <v>1</v>
      </c>
      <c r="E2" s="2">
        <v>71.5</v>
      </c>
      <c r="F2" t="s">
        <v>39</v>
      </c>
      <c r="G2" t="s">
        <v>9</v>
      </c>
      <c r="H2" t="s">
        <v>9</v>
      </c>
    </row>
    <row r="3" spans="1:9" x14ac:dyDescent="0.25">
      <c r="A3">
        <v>38003781</v>
      </c>
      <c r="B3" t="s">
        <v>22</v>
      </c>
      <c r="C3" t="s">
        <v>23</v>
      </c>
      <c r="D3">
        <v>0</v>
      </c>
      <c r="E3" s="2">
        <f>86870/251.9/(7.5*60)*5</f>
        <v>3.8317674562216046</v>
      </c>
      <c r="F3" t="s">
        <v>128</v>
      </c>
      <c r="G3" t="s">
        <v>119</v>
      </c>
      <c r="H3" t="s">
        <v>119</v>
      </c>
      <c r="I3" t="s">
        <v>121</v>
      </c>
    </row>
    <row r="4" spans="1:9" x14ac:dyDescent="0.25">
      <c r="A4">
        <v>38003781</v>
      </c>
      <c r="B4" t="s">
        <v>22</v>
      </c>
      <c r="C4" t="s">
        <v>93</v>
      </c>
      <c r="D4">
        <v>0</v>
      </c>
      <c r="E4" s="2">
        <f>59696/251.9/(7.5*60)*5</f>
        <v>2.6331436637113494</v>
      </c>
      <c r="F4" t="s">
        <v>127</v>
      </c>
      <c r="G4" t="s">
        <v>119</v>
      </c>
      <c r="H4" t="s">
        <v>119</v>
      </c>
      <c r="I4" t="s">
        <v>121</v>
      </c>
    </row>
    <row r="5" spans="1:9" x14ac:dyDescent="0.25">
      <c r="A5">
        <v>38004390</v>
      </c>
      <c r="B5" t="s">
        <v>77</v>
      </c>
      <c r="C5" t="s">
        <v>78</v>
      </c>
      <c r="D5">
        <v>1</v>
      </c>
      <c r="E5" s="2">
        <v>26.74540816326531</v>
      </c>
      <c r="F5" t="s">
        <v>25</v>
      </c>
      <c r="G5" t="s">
        <v>28</v>
      </c>
      <c r="H5" t="s">
        <v>28</v>
      </c>
    </row>
    <row r="6" spans="1:9" x14ac:dyDescent="0.25">
      <c r="A6">
        <v>38004376</v>
      </c>
      <c r="B6" t="s">
        <v>110</v>
      </c>
      <c r="C6" t="s">
        <v>111</v>
      </c>
      <c r="D6">
        <v>1</v>
      </c>
      <c r="E6" s="2">
        <v>42</v>
      </c>
      <c r="F6" t="s">
        <v>35</v>
      </c>
      <c r="G6" s="3" t="s">
        <v>28</v>
      </c>
      <c r="H6" s="3" t="s">
        <v>28</v>
      </c>
    </row>
    <row r="7" spans="1:9" x14ac:dyDescent="0.25">
      <c r="A7">
        <v>38003789</v>
      </c>
      <c r="B7" t="s">
        <v>19</v>
      </c>
      <c r="C7" t="s">
        <v>20</v>
      </c>
      <c r="D7">
        <v>1</v>
      </c>
      <c r="E7" s="2">
        <v>31.72</v>
      </c>
      <c r="F7" t="s">
        <v>21</v>
      </c>
      <c r="G7" t="s">
        <v>9</v>
      </c>
      <c r="H7" t="s">
        <v>9</v>
      </c>
    </row>
    <row r="8" spans="1:9" x14ac:dyDescent="0.25">
      <c r="A8">
        <v>38003789</v>
      </c>
      <c r="B8" t="s">
        <v>19</v>
      </c>
      <c r="C8" t="s">
        <v>73</v>
      </c>
      <c r="D8">
        <v>0</v>
      </c>
      <c r="E8" s="2">
        <f>28854/251.9/(7.5*60)*5</f>
        <v>1.2727272727272729</v>
      </c>
      <c r="F8" t="s">
        <v>123</v>
      </c>
      <c r="G8" t="s">
        <v>119</v>
      </c>
      <c r="H8" s="3" t="s">
        <v>9</v>
      </c>
      <c r="I8" t="s">
        <v>121</v>
      </c>
    </row>
    <row r="9" spans="1:9" x14ac:dyDescent="0.25">
      <c r="A9">
        <v>38004413</v>
      </c>
      <c r="B9" t="s">
        <v>101</v>
      </c>
      <c r="C9" t="s">
        <v>102</v>
      </c>
      <c r="D9">
        <v>1</v>
      </c>
      <c r="E9" s="2">
        <v>26.74540816326531</v>
      </c>
      <c r="F9" t="s">
        <v>25</v>
      </c>
      <c r="G9" t="s">
        <v>28</v>
      </c>
      <c r="H9" t="s">
        <v>28</v>
      </c>
    </row>
    <row r="10" spans="1:9" x14ac:dyDescent="0.25">
      <c r="A10">
        <v>38004446</v>
      </c>
      <c r="B10" t="s">
        <v>33</v>
      </c>
      <c r="C10" t="s">
        <v>34</v>
      </c>
      <c r="D10">
        <v>1</v>
      </c>
      <c r="E10" s="2">
        <v>42</v>
      </c>
      <c r="F10" t="s">
        <v>35</v>
      </c>
      <c r="G10" t="s">
        <v>36</v>
      </c>
      <c r="H10" t="s">
        <v>36</v>
      </c>
    </row>
    <row r="11" spans="1:9" x14ac:dyDescent="0.25">
      <c r="A11">
        <v>38004446</v>
      </c>
      <c r="B11" t="s">
        <v>33</v>
      </c>
      <c r="C11" t="s">
        <v>79</v>
      </c>
      <c r="D11">
        <v>1</v>
      </c>
      <c r="E11" s="2">
        <v>42</v>
      </c>
      <c r="F11" t="s">
        <v>35</v>
      </c>
      <c r="G11" t="s">
        <v>36</v>
      </c>
      <c r="H11" t="s">
        <v>36</v>
      </c>
    </row>
    <row r="12" spans="1:9" x14ac:dyDescent="0.25">
      <c r="A12">
        <v>38004169</v>
      </c>
      <c r="B12" t="s">
        <v>71</v>
      </c>
      <c r="C12" t="s">
        <v>72</v>
      </c>
      <c r="D12">
        <v>0</v>
      </c>
      <c r="E12" s="2">
        <f>28854/251.9/(7.5*60)*5</f>
        <v>1.2727272727272729</v>
      </c>
      <c r="F12" t="s">
        <v>123</v>
      </c>
      <c r="G12" t="s">
        <v>119</v>
      </c>
      <c r="H12" t="s">
        <v>119</v>
      </c>
      <c r="I12" t="s">
        <v>121</v>
      </c>
    </row>
    <row r="13" spans="1:9" x14ac:dyDescent="0.25">
      <c r="A13">
        <v>38004169</v>
      </c>
      <c r="B13" t="s">
        <v>71</v>
      </c>
      <c r="C13" t="s">
        <v>104</v>
      </c>
      <c r="D13">
        <v>0</v>
      </c>
      <c r="E13" s="2">
        <f>28854/251.9/(7.5*60)*5</f>
        <v>1.2727272727272729</v>
      </c>
      <c r="F13" t="s">
        <v>123</v>
      </c>
      <c r="G13" t="s">
        <v>119</v>
      </c>
      <c r="H13" t="s">
        <v>119</v>
      </c>
      <c r="I13" t="s">
        <v>121</v>
      </c>
    </row>
    <row r="14" spans="1:9" x14ac:dyDescent="0.25">
      <c r="A14">
        <v>38003659</v>
      </c>
      <c r="B14" t="s">
        <v>65</v>
      </c>
      <c r="C14" t="s">
        <v>66</v>
      </c>
      <c r="D14">
        <v>1</v>
      </c>
      <c r="E14" s="2">
        <v>53</v>
      </c>
      <c r="F14" t="s">
        <v>67</v>
      </c>
      <c r="G14" t="s">
        <v>9</v>
      </c>
      <c r="H14" t="s">
        <v>9</v>
      </c>
    </row>
    <row r="15" spans="1:9" x14ac:dyDescent="0.25">
      <c r="A15">
        <v>38004370</v>
      </c>
      <c r="B15" t="s">
        <v>88</v>
      </c>
      <c r="C15" t="s">
        <v>89</v>
      </c>
      <c r="D15">
        <v>1</v>
      </c>
      <c r="E15" s="2">
        <v>19.196153846153848</v>
      </c>
      <c r="F15" t="s">
        <v>90</v>
      </c>
      <c r="G15" t="s">
        <v>9</v>
      </c>
      <c r="H15" t="s">
        <v>9</v>
      </c>
    </row>
    <row r="16" spans="1:9" x14ac:dyDescent="0.25">
      <c r="A16">
        <v>38003625</v>
      </c>
      <c r="B16" t="s">
        <v>49</v>
      </c>
      <c r="C16" t="s">
        <v>50</v>
      </c>
      <c r="D16">
        <v>1</v>
      </c>
      <c r="E16" s="2">
        <f>68/60*5</f>
        <v>5.6666666666666661</v>
      </c>
      <c r="F16" t="s">
        <v>132</v>
      </c>
      <c r="G16" s="3" t="s">
        <v>9</v>
      </c>
      <c r="H16" s="3" t="s">
        <v>9</v>
      </c>
      <c r="I16" t="s">
        <v>121</v>
      </c>
    </row>
    <row r="17" spans="1:9" x14ac:dyDescent="0.25">
      <c r="A17">
        <v>38003648</v>
      </c>
      <c r="B17" t="s">
        <v>17</v>
      </c>
      <c r="C17" t="s">
        <v>18</v>
      </c>
      <c r="D17">
        <v>0</v>
      </c>
      <c r="E17" s="2">
        <f>35/60*5</f>
        <v>2.916666666666667</v>
      </c>
      <c r="F17" t="s">
        <v>133</v>
      </c>
      <c r="G17" t="s">
        <v>119</v>
      </c>
      <c r="H17" s="3" t="s">
        <v>9</v>
      </c>
      <c r="I17" t="s">
        <v>121</v>
      </c>
    </row>
    <row r="18" spans="1:9" x14ac:dyDescent="0.25">
      <c r="A18">
        <v>38003807</v>
      </c>
      <c r="B18" t="s">
        <v>107</v>
      </c>
      <c r="C18" t="s">
        <v>107</v>
      </c>
      <c r="D18">
        <v>1</v>
      </c>
      <c r="E18" s="2">
        <v>31.72</v>
      </c>
      <c r="F18" t="s">
        <v>21</v>
      </c>
      <c r="G18" t="s">
        <v>9</v>
      </c>
      <c r="H18" t="s">
        <v>9</v>
      </c>
    </row>
    <row r="19" spans="1:9" x14ac:dyDescent="0.25">
      <c r="A19">
        <v>0</v>
      </c>
      <c r="B19" t="s">
        <v>46</v>
      </c>
      <c r="C19" t="s">
        <v>47</v>
      </c>
      <c r="D19">
        <v>1</v>
      </c>
      <c r="E19" s="2">
        <v>49.38</v>
      </c>
      <c r="F19" t="s">
        <v>115</v>
      </c>
      <c r="G19" s="3" t="s">
        <v>36</v>
      </c>
      <c r="H19" t="s">
        <v>114</v>
      </c>
    </row>
    <row r="20" spans="1:9" x14ac:dyDescent="0.25">
      <c r="A20">
        <v>0</v>
      </c>
      <c r="B20" t="s">
        <v>46</v>
      </c>
      <c r="C20" t="s">
        <v>48</v>
      </c>
      <c r="D20">
        <v>1</v>
      </c>
      <c r="E20" s="2">
        <v>49.38</v>
      </c>
      <c r="F20" t="s">
        <v>115</v>
      </c>
      <c r="G20" t="s">
        <v>9</v>
      </c>
      <c r="H20" t="s">
        <v>114</v>
      </c>
    </row>
    <row r="21" spans="1:9" x14ac:dyDescent="0.25">
      <c r="A21">
        <v>0</v>
      </c>
      <c r="B21" t="s">
        <v>46</v>
      </c>
      <c r="C21" t="s">
        <v>80</v>
      </c>
      <c r="D21">
        <v>1</v>
      </c>
      <c r="E21" s="2">
        <v>49.38</v>
      </c>
      <c r="F21" t="s">
        <v>115</v>
      </c>
      <c r="G21" s="3" t="s">
        <v>36</v>
      </c>
      <c r="H21" t="s">
        <v>114</v>
      </c>
    </row>
    <row r="22" spans="1:9" x14ac:dyDescent="0.25">
      <c r="A22">
        <v>0</v>
      </c>
      <c r="B22" t="s">
        <v>46</v>
      </c>
      <c r="C22" t="s">
        <v>86</v>
      </c>
      <c r="D22">
        <v>1</v>
      </c>
      <c r="E22" s="2">
        <v>49.38</v>
      </c>
      <c r="F22" t="s">
        <v>115</v>
      </c>
      <c r="G22" s="3" t="s">
        <v>36</v>
      </c>
      <c r="H22" t="s">
        <v>114</v>
      </c>
    </row>
    <row r="23" spans="1:9" x14ac:dyDescent="0.25">
      <c r="A23">
        <v>38004487</v>
      </c>
      <c r="B23" t="s">
        <v>58</v>
      </c>
      <c r="C23" t="s">
        <v>59</v>
      </c>
      <c r="D23">
        <v>1</v>
      </c>
      <c r="E23" s="2">
        <v>19.196153846153848</v>
      </c>
      <c r="F23" t="s">
        <v>60</v>
      </c>
      <c r="G23" t="s">
        <v>28</v>
      </c>
      <c r="H23" t="s">
        <v>28</v>
      </c>
    </row>
    <row r="24" spans="1:9" x14ac:dyDescent="0.25">
      <c r="A24">
        <v>38004185</v>
      </c>
      <c r="B24" t="s">
        <v>6</v>
      </c>
      <c r="C24" t="s">
        <v>7</v>
      </c>
      <c r="D24">
        <v>0</v>
      </c>
      <c r="E24" s="2">
        <f>28854/251.9/(7.5*60)*5</f>
        <v>1.2727272727272729</v>
      </c>
      <c r="F24" t="s">
        <v>123</v>
      </c>
      <c r="G24" t="s">
        <v>119</v>
      </c>
      <c r="H24" t="s">
        <v>119</v>
      </c>
      <c r="I24" t="s">
        <v>121</v>
      </c>
    </row>
    <row r="25" spans="1:9" x14ac:dyDescent="0.25">
      <c r="A25">
        <v>38004185</v>
      </c>
      <c r="B25" t="s">
        <v>6</v>
      </c>
      <c r="C25" t="s">
        <v>10</v>
      </c>
      <c r="D25">
        <v>0</v>
      </c>
      <c r="E25" s="2">
        <f>28854/251.9/(7.5*60)*5</f>
        <v>1.2727272727272729</v>
      </c>
      <c r="F25" t="s">
        <v>123</v>
      </c>
      <c r="G25" t="s">
        <v>119</v>
      </c>
      <c r="H25" t="s">
        <v>119</v>
      </c>
      <c r="I25" t="s">
        <v>121</v>
      </c>
    </row>
    <row r="26" spans="1:9" x14ac:dyDescent="0.25">
      <c r="A26">
        <v>38004185</v>
      </c>
      <c r="B26" t="s">
        <v>6</v>
      </c>
      <c r="C26" t="s">
        <v>53</v>
      </c>
      <c r="D26">
        <v>0</v>
      </c>
      <c r="E26" s="2">
        <f>31/60*5</f>
        <v>2.5833333333333335</v>
      </c>
      <c r="F26" t="s">
        <v>126</v>
      </c>
      <c r="G26" t="s">
        <v>119</v>
      </c>
      <c r="H26" t="s">
        <v>119</v>
      </c>
      <c r="I26" t="s">
        <v>121</v>
      </c>
    </row>
    <row r="27" spans="1:9" x14ac:dyDescent="0.25">
      <c r="A27">
        <v>38004185</v>
      </c>
      <c r="B27" t="s">
        <v>6</v>
      </c>
      <c r="C27" t="s">
        <v>61</v>
      </c>
      <c r="D27">
        <v>0</v>
      </c>
      <c r="E27" s="2">
        <f>28854/251.9/(7.5*60)*5</f>
        <v>1.2727272727272729</v>
      </c>
      <c r="F27" t="s">
        <v>123</v>
      </c>
      <c r="G27" t="s">
        <v>119</v>
      </c>
      <c r="H27" t="s">
        <v>119</v>
      </c>
      <c r="I27" t="s">
        <v>121</v>
      </c>
    </row>
    <row r="28" spans="1:9" x14ac:dyDescent="0.25">
      <c r="A28">
        <v>38004185</v>
      </c>
      <c r="B28" t="s">
        <v>6</v>
      </c>
      <c r="C28" t="s">
        <v>84</v>
      </c>
      <c r="D28">
        <v>0</v>
      </c>
      <c r="E28" s="2">
        <f>86870/251.9/(7.5*60)*5</f>
        <v>3.8317674562216046</v>
      </c>
      <c r="F28" t="s">
        <v>122</v>
      </c>
      <c r="G28" t="s">
        <v>119</v>
      </c>
      <c r="H28" t="s">
        <v>119</v>
      </c>
      <c r="I28" t="s">
        <v>121</v>
      </c>
    </row>
    <row r="29" spans="1:9" x14ac:dyDescent="0.25">
      <c r="A29">
        <v>38004185</v>
      </c>
      <c r="B29" t="s">
        <v>6</v>
      </c>
      <c r="C29" t="s">
        <v>103</v>
      </c>
      <c r="D29">
        <v>0</v>
      </c>
      <c r="E29" s="2">
        <f>28854/251.9/(7.5*60)*5</f>
        <v>1.2727272727272729</v>
      </c>
      <c r="F29" t="s">
        <v>123</v>
      </c>
      <c r="G29" t="s">
        <v>119</v>
      </c>
      <c r="H29" t="s">
        <v>119</v>
      </c>
      <c r="I29" t="s">
        <v>121</v>
      </c>
    </row>
    <row r="30" spans="1:9" x14ac:dyDescent="0.25">
      <c r="A30">
        <v>38003696</v>
      </c>
      <c r="B30" t="s">
        <v>8</v>
      </c>
      <c r="C30" t="s">
        <v>8</v>
      </c>
      <c r="D30">
        <v>1</v>
      </c>
      <c r="E30" s="2">
        <v>26</v>
      </c>
      <c r="F30" t="s">
        <v>116</v>
      </c>
      <c r="G30" t="s">
        <v>9</v>
      </c>
      <c r="H30" t="s">
        <v>9</v>
      </c>
    </row>
    <row r="31" spans="1:9" x14ac:dyDescent="0.25">
      <c r="A31">
        <v>38003696</v>
      </c>
      <c r="B31" t="s">
        <v>8</v>
      </c>
      <c r="C31" t="s">
        <v>64</v>
      </c>
      <c r="D31">
        <v>1</v>
      </c>
      <c r="E31" s="2">
        <v>26</v>
      </c>
      <c r="F31" t="s">
        <v>116</v>
      </c>
      <c r="G31" t="s">
        <v>9</v>
      </c>
      <c r="H31" t="s">
        <v>9</v>
      </c>
    </row>
    <row r="32" spans="1:9" x14ac:dyDescent="0.25">
      <c r="A32">
        <v>38003810</v>
      </c>
      <c r="B32" t="s">
        <v>16</v>
      </c>
      <c r="C32" t="s">
        <v>16</v>
      </c>
      <c r="D32">
        <v>1</v>
      </c>
      <c r="E32" s="2">
        <f>37376/251.9/(7.5*60)*5</f>
        <v>1.6486259979709761</v>
      </c>
      <c r="F32" t="s">
        <v>124</v>
      </c>
      <c r="G32" s="3" t="s">
        <v>9</v>
      </c>
      <c r="H32" s="3" t="s">
        <v>9</v>
      </c>
      <c r="I32" t="s">
        <v>121</v>
      </c>
    </row>
    <row r="33" spans="1:9" x14ac:dyDescent="0.25">
      <c r="A33">
        <v>38003819</v>
      </c>
      <c r="B33" t="s">
        <v>51</v>
      </c>
      <c r="C33" t="s">
        <v>52</v>
      </c>
      <c r="D33">
        <v>0</v>
      </c>
      <c r="E33" s="2">
        <f>21571/251.9/(7.5*60)*5</f>
        <v>0.95147986414361962</v>
      </c>
      <c r="F33" t="s">
        <v>125</v>
      </c>
      <c r="G33" t="s">
        <v>119</v>
      </c>
      <c r="H33" s="3" t="s">
        <v>9</v>
      </c>
      <c r="I33" t="s">
        <v>121</v>
      </c>
    </row>
    <row r="34" spans="1:9" x14ac:dyDescent="0.25">
      <c r="A34">
        <v>38003819</v>
      </c>
      <c r="B34" t="s">
        <v>51</v>
      </c>
      <c r="C34" t="s">
        <v>94</v>
      </c>
      <c r="D34">
        <v>1</v>
      </c>
      <c r="E34" s="2">
        <v>6</v>
      </c>
      <c r="F34" t="s">
        <v>95</v>
      </c>
      <c r="G34" t="s">
        <v>9</v>
      </c>
      <c r="H34" t="s">
        <v>9</v>
      </c>
    </row>
    <row r="35" spans="1:9" x14ac:dyDescent="0.25">
      <c r="A35">
        <v>38004145</v>
      </c>
      <c r="B35" t="s">
        <v>68</v>
      </c>
      <c r="C35" t="s">
        <v>68</v>
      </c>
      <c r="D35">
        <v>1</v>
      </c>
      <c r="E35" s="2">
        <f>21571/251.9/(7.5*60)*10</f>
        <v>1.9029597282872392</v>
      </c>
      <c r="F35" t="s">
        <v>129</v>
      </c>
      <c r="G35" s="3" t="s">
        <v>9</v>
      </c>
      <c r="H35" s="3" t="s">
        <v>9</v>
      </c>
      <c r="I35" t="s">
        <v>121</v>
      </c>
    </row>
    <row r="36" spans="1:9" x14ac:dyDescent="0.25">
      <c r="A36">
        <v>38004056</v>
      </c>
      <c r="B36" t="s">
        <v>91</v>
      </c>
      <c r="C36" t="s">
        <v>92</v>
      </c>
      <c r="D36">
        <v>1</v>
      </c>
      <c r="E36" s="2">
        <v>41</v>
      </c>
      <c r="F36" t="s">
        <v>15</v>
      </c>
      <c r="G36" t="s">
        <v>9</v>
      </c>
      <c r="H36" t="s">
        <v>9</v>
      </c>
    </row>
    <row r="37" spans="1:9" x14ac:dyDescent="0.25">
      <c r="A37">
        <v>38004512</v>
      </c>
      <c r="B37" t="s">
        <v>31</v>
      </c>
      <c r="C37" t="s">
        <v>32</v>
      </c>
      <c r="D37">
        <v>1</v>
      </c>
      <c r="E37" s="2">
        <f>25130/251.9/(7.5*60)*5</f>
        <v>1.1084645582462176</v>
      </c>
      <c r="F37" t="s">
        <v>130</v>
      </c>
      <c r="G37" s="3" t="s">
        <v>9</v>
      </c>
      <c r="H37" s="3" t="s">
        <v>9</v>
      </c>
      <c r="I37" t="s">
        <v>121</v>
      </c>
    </row>
    <row r="38" spans="1:9" x14ac:dyDescent="0.25">
      <c r="A38">
        <v>38004512</v>
      </c>
      <c r="B38" t="s">
        <v>31</v>
      </c>
      <c r="C38" t="s">
        <v>70</v>
      </c>
      <c r="D38">
        <v>1</v>
      </c>
      <c r="E38" s="2">
        <f>21571/251.9/(7.5*60)*5</f>
        <v>0.95147986414361962</v>
      </c>
      <c r="F38" t="s">
        <v>125</v>
      </c>
      <c r="G38" s="3" t="s">
        <v>9</v>
      </c>
      <c r="H38" s="3" t="s">
        <v>9</v>
      </c>
      <c r="I38" t="s">
        <v>121</v>
      </c>
    </row>
    <row r="39" spans="1:9" x14ac:dyDescent="0.25">
      <c r="A39">
        <v>38004512</v>
      </c>
      <c r="B39" t="s">
        <v>31</v>
      </c>
      <c r="C39" t="s">
        <v>112</v>
      </c>
      <c r="D39">
        <v>1</v>
      </c>
      <c r="E39" s="2">
        <v>42</v>
      </c>
      <c r="F39" t="s">
        <v>35</v>
      </c>
      <c r="G39" t="s">
        <v>36</v>
      </c>
      <c r="H39" t="s">
        <v>36</v>
      </c>
    </row>
    <row r="40" spans="1:9" x14ac:dyDescent="0.25">
      <c r="A40">
        <v>38004512</v>
      </c>
      <c r="B40" t="s">
        <v>31</v>
      </c>
      <c r="C40" t="s">
        <v>31</v>
      </c>
      <c r="D40">
        <v>1</v>
      </c>
      <c r="E40" s="2">
        <f>21571/251.9/(7.5*60)*5</f>
        <v>0.95147986414361962</v>
      </c>
      <c r="F40" t="s">
        <v>125</v>
      </c>
      <c r="G40" s="3" t="s">
        <v>9</v>
      </c>
      <c r="H40" s="3" t="s">
        <v>9</v>
      </c>
      <c r="I40" t="s">
        <v>121</v>
      </c>
    </row>
    <row r="41" spans="1:9" x14ac:dyDescent="0.25">
      <c r="A41">
        <v>38004153</v>
      </c>
      <c r="B41" t="s">
        <v>55</v>
      </c>
      <c r="C41" t="s">
        <v>56</v>
      </c>
      <c r="D41">
        <v>0</v>
      </c>
      <c r="E41" s="2">
        <f>45221/251.9/(7.5*60)*5</f>
        <v>1.9946627850557981</v>
      </c>
      <c r="F41" t="s">
        <v>131</v>
      </c>
      <c r="G41" t="s">
        <v>119</v>
      </c>
      <c r="H41" t="s">
        <v>119</v>
      </c>
      <c r="I41" t="s">
        <v>121</v>
      </c>
    </row>
    <row r="42" spans="1:9" x14ac:dyDescent="0.25">
      <c r="A42">
        <v>38004030</v>
      </c>
      <c r="B42" t="s">
        <v>99</v>
      </c>
      <c r="C42" t="s">
        <v>100</v>
      </c>
      <c r="D42">
        <v>1</v>
      </c>
      <c r="E42" s="2">
        <v>41</v>
      </c>
      <c r="F42" t="s">
        <v>15</v>
      </c>
      <c r="G42" t="s">
        <v>9</v>
      </c>
      <c r="H42" t="s">
        <v>9</v>
      </c>
    </row>
    <row r="43" spans="1:9" x14ac:dyDescent="0.25">
      <c r="A43">
        <v>38003627</v>
      </c>
      <c r="B43" t="s">
        <v>13</v>
      </c>
      <c r="C43" t="s">
        <v>14</v>
      </c>
      <c r="D43">
        <v>1</v>
      </c>
      <c r="E43" s="2">
        <v>41</v>
      </c>
      <c r="F43" t="s">
        <v>15</v>
      </c>
      <c r="G43" t="s">
        <v>9</v>
      </c>
      <c r="H43" t="s">
        <v>9</v>
      </c>
    </row>
    <row r="44" spans="1:9" x14ac:dyDescent="0.25">
      <c r="A44">
        <v>38004176</v>
      </c>
      <c r="B44" t="s">
        <v>62</v>
      </c>
      <c r="C44" t="s">
        <v>63</v>
      </c>
      <c r="D44">
        <v>1</v>
      </c>
      <c r="E44" s="2">
        <f>45221/251.9/(7.5*60)*5</f>
        <v>1.9946627850557981</v>
      </c>
      <c r="F44" t="s">
        <v>131</v>
      </c>
      <c r="G44" s="3" t="s">
        <v>9</v>
      </c>
      <c r="H44" s="3" t="s">
        <v>9</v>
      </c>
      <c r="I44" t="s">
        <v>121</v>
      </c>
    </row>
    <row r="45" spans="1:9" x14ac:dyDescent="0.25">
      <c r="A45">
        <v>38003722</v>
      </c>
      <c r="B45" t="s">
        <v>97</v>
      </c>
      <c r="C45" t="s">
        <v>98</v>
      </c>
      <c r="D45">
        <v>1</v>
      </c>
      <c r="E45" s="2">
        <v>19.196153846153848</v>
      </c>
      <c r="F45" t="s">
        <v>60</v>
      </c>
      <c r="G45" t="s">
        <v>28</v>
      </c>
      <c r="H45" t="s">
        <v>28</v>
      </c>
    </row>
    <row r="46" spans="1:9" x14ac:dyDescent="0.25">
      <c r="A46">
        <v>38003690</v>
      </c>
      <c r="B46" t="s">
        <v>81</v>
      </c>
      <c r="C46" t="s">
        <v>82</v>
      </c>
      <c r="D46">
        <v>1</v>
      </c>
      <c r="E46" s="2">
        <v>39</v>
      </c>
      <c r="F46" t="s">
        <v>83</v>
      </c>
      <c r="G46" t="s">
        <v>9</v>
      </c>
      <c r="H46" t="s">
        <v>9</v>
      </c>
    </row>
    <row r="47" spans="1:9" x14ac:dyDescent="0.25">
      <c r="A47">
        <v>38003731</v>
      </c>
      <c r="B47" t="s">
        <v>26</v>
      </c>
      <c r="C47" t="s">
        <v>69</v>
      </c>
      <c r="D47">
        <v>1</v>
      </c>
      <c r="E47" s="2">
        <f>50789/251.9/(7.5*60)*5</f>
        <v>2.2402628909179128</v>
      </c>
      <c r="F47" t="s">
        <v>134</v>
      </c>
      <c r="G47" s="3" t="s">
        <v>28</v>
      </c>
      <c r="H47" s="3" t="s">
        <v>28</v>
      </c>
      <c r="I47" t="s">
        <v>121</v>
      </c>
    </row>
    <row r="48" spans="1:9" x14ac:dyDescent="0.25">
      <c r="A48">
        <v>38003731</v>
      </c>
      <c r="B48" t="s">
        <v>26</v>
      </c>
      <c r="C48" t="s">
        <v>27</v>
      </c>
      <c r="D48">
        <v>1</v>
      </c>
      <c r="E48" s="2">
        <v>36.86</v>
      </c>
      <c r="F48" t="s">
        <v>117</v>
      </c>
      <c r="G48" t="s">
        <v>28</v>
      </c>
      <c r="H48" t="s">
        <v>28</v>
      </c>
    </row>
    <row r="49" spans="1:9" x14ac:dyDescent="0.25">
      <c r="A49">
        <v>38003731</v>
      </c>
      <c r="B49" t="s">
        <v>26</v>
      </c>
      <c r="C49" t="s">
        <v>96</v>
      </c>
      <c r="D49">
        <v>1</v>
      </c>
      <c r="E49" s="2">
        <v>36.86</v>
      </c>
      <c r="F49" t="s">
        <v>117</v>
      </c>
      <c r="G49" t="s">
        <v>28</v>
      </c>
      <c r="H49" t="s">
        <v>28</v>
      </c>
    </row>
    <row r="50" spans="1:9" x14ac:dyDescent="0.25">
      <c r="A50">
        <v>38003716</v>
      </c>
      <c r="B50" t="s">
        <v>74</v>
      </c>
      <c r="C50" t="s">
        <v>75</v>
      </c>
      <c r="D50">
        <v>1</v>
      </c>
      <c r="E50" s="2">
        <v>42</v>
      </c>
      <c r="F50" t="s">
        <v>76</v>
      </c>
      <c r="G50" t="s">
        <v>28</v>
      </c>
      <c r="H50" t="s">
        <v>28</v>
      </c>
    </row>
    <row r="51" spans="1:9" x14ac:dyDescent="0.25">
      <c r="A51">
        <v>38003716</v>
      </c>
      <c r="B51" t="s">
        <v>74</v>
      </c>
      <c r="C51" t="s">
        <v>109</v>
      </c>
      <c r="D51">
        <v>1</v>
      </c>
      <c r="E51" s="2">
        <v>42</v>
      </c>
      <c r="F51" t="s">
        <v>76</v>
      </c>
      <c r="G51" t="s">
        <v>28</v>
      </c>
      <c r="H51" t="s">
        <v>28</v>
      </c>
    </row>
    <row r="52" spans="1:9" x14ac:dyDescent="0.25">
      <c r="A52">
        <v>38004154</v>
      </c>
      <c r="B52" t="s">
        <v>11</v>
      </c>
      <c r="C52" t="s">
        <v>12</v>
      </c>
      <c r="D52">
        <v>0</v>
      </c>
      <c r="E52" s="2">
        <f>28854/251.9/(7.5*60)*5</f>
        <v>1.2727272727272729</v>
      </c>
      <c r="F52" t="s">
        <v>123</v>
      </c>
      <c r="G52" t="s">
        <v>119</v>
      </c>
      <c r="H52" t="s">
        <v>119</v>
      </c>
      <c r="I52" t="s">
        <v>121</v>
      </c>
    </row>
    <row r="53" spans="1:9" x14ac:dyDescent="0.25">
      <c r="A53">
        <v>38004154</v>
      </c>
      <c r="B53" t="s">
        <v>11</v>
      </c>
      <c r="C53" t="s">
        <v>24</v>
      </c>
      <c r="D53">
        <v>0</v>
      </c>
      <c r="E53" s="2">
        <f>28854/251.9/(7.5*60)*5</f>
        <v>1.2727272727272729</v>
      </c>
      <c r="F53" t="s">
        <v>123</v>
      </c>
      <c r="G53" t="s">
        <v>119</v>
      </c>
      <c r="H53" t="s">
        <v>119</v>
      </c>
      <c r="I53" t="s">
        <v>121</v>
      </c>
    </row>
    <row r="54" spans="1:9" x14ac:dyDescent="0.25">
      <c r="A54">
        <v>38004154</v>
      </c>
      <c r="B54" t="s">
        <v>11</v>
      </c>
      <c r="C54" t="s">
        <v>54</v>
      </c>
      <c r="D54">
        <v>0</v>
      </c>
      <c r="E54" s="2">
        <f>28854/251.9/(7.5*60)*5</f>
        <v>1.2727272727272729</v>
      </c>
      <c r="F54" t="s">
        <v>123</v>
      </c>
      <c r="G54" t="s">
        <v>119</v>
      </c>
      <c r="H54" t="s">
        <v>119</v>
      </c>
      <c r="I54" t="s">
        <v>121</v>
      </c>
    </row>
    <row r="55" spans="1:9" x14ac:dyDescent="0.25">
      <c r="A55">
        <v>38004154</v>
      </c>
      <c r="B55" t="s">
        <v>11</v>
      </c>
      <c r="C55" t="s">
        <v>85</v>
      </c>
      <c r="D55">
        <v>0</v>
      </c>
      <c r="E55" s="2">
        <f>28854/251.9/(7.5*60)*5</f>
        <v>1.2727272727272729</v>
      </c>
      <c r="F55" t="s">
        <v>123</v>
      </c>
      <c r="G55" t="s">
        <v>119</v>
      </c>
      <c r="H55" t="s">
        <v>119</v>
      </c>
      <c r="I55" t="s">
        <v>121</v>
      </c>
    </row>
    <row r="56" spans="1:9" x14ac:dyDescent="0.25">
      <c r="A56">
        <v>38004154</v>
      </c>
      <c r="B56" t="s">
        <v>11</v>
      </c>
      <c r="C56" t="s">
        <v>108</v>
      </c>
      <c r="D56">
        <v>0</v>
      </c>
      <c r="E56" s="2">
        <f>28854/251.9/(7.5*60)*5</f>
        <v>1.2727272727272729</v>
      </c>
      <c r="F56" t="s">
        <v>123</v>
      </c>
      <c r="G56" t="s">
        <v>119</v>
      </c>
      <c r="H56" t="s">
        <v>119</v>
      </c>
      <c r="I56" t="s">
        <v>121</v>
      </c>
    </row>
    <row r="57" spans="1:9" x14ac:dyDescent="0.25">
      <c r="A57">
        <v>38003760</v>
      </c>
      <c r="B57" t="s">
        <v>105</v>
      </c>
      <c r="C57" t="s">
        <v>106</v>
      </c>
      <c r="D57">
        <v>1</v>
      </c>
      <c r="E57" s="2">
        <v>19.196153846153848</v>
      </c>
      <c r="F57" t="s">
        <v>60</v>
      </c>
      <c r="G57" t="s">
        <v>28</v>
      </c>
      <c r="H57" t="s">
        <v>28</v>
      </c>
    </row>
    <row r="58" spans="1:9" x14ac:dyDescent="0.25">
      <c r="A58">
        <v>38004499</v>
      </c>
      <c r="B58" t="s">
        <v>44</v>
      </c>
      <c r="C58" t="s">
        <v>44</v>
      </c>
      <c r="D58">
        <v>1</v>
      </c>
      <c r="E58" s="2">
        <v>44</v>
      </c>
      <c r="F58" t="s">
        <v>45</v>
      </c>
      <c r="G58" t="s">
        <v>9</v>
      </c>
      <c r="H58" t="s">
        <v>9</v>
      </c>
    </row>
    <row r="59" spans="1:9" x14ac:dyDescent="0.25">
      <c r="A59">
        <v>38003794</v>
      </c>
      <c r="B59" t="s">
        <v>40</v>
      </c>
      <c r="C59" t="s">
        <v>41</v>
      </c>
      <c r="D59">
        <v>1</v>
      </c>
      <c r="E59" s="2">
        <v>29.23</v>
      </c>
      <c r="F59" t="s">
        <v>118</v>
      </c>
      <c r="G59" t="s">
        <v>9</v>
      </c>
      <c r="H59" t="s">
        <v>9</v>
      </c>
    </row>
    <row r="60" spans="1:9" x14ac:dyDescent="0.25">
      <c r="A60">
        <v>38003794</v>
      </c>
      <c r="B60" t="s">
        <v>40</v>
      </c>
      <c r="C60" t="s">
        <v>57</v>
      </c>
      <c r="D60">
        <v>1</v>
      </c>
      <c r="E60" s="2">
        <v>29.23</v>
      </c>
      <c r="F60" t="s">
        <v>118</v>
      </c>
      <c r="G60" t="s">
        <v>9</v>
      </c>
      <c r="H60" t="s">
        <v>9</v>
      </c>
    </row>
    <row r="61" spans="1:9" x14ac:dyDescent="0.25">
      <c r="A61">
        <v>38003794</v>
      </c>
      <c r="B61" t="s">
        <v>40</v>
      </c>
      <c r="C61" t="s">
        <v>87</v>
      </c>
      <c r="D61">
        <v>1</v>
      </c>
      <c r="E61" s="2">
        <v>29.23</v>
      </c>
      <c r="F61" t="s">
        <v>118</v>
      </c>
      <c r="G61" t="s">
        <v>9</v>
      </c>
      <c r="H61" t="s">
        <v>9</v>
      </c>
    </row>
    <row r="62" spans="1:9" x14ac:dyDescent="0.25">
      <c r="A62">
        <v>38004445</v>
      </c>
      <c r="B62" t="s">
        <v>29</v>
      </c>
      <c r="C62" t="s">
        <v>30</v>
      </c>
      <c r="D62">
        <v>0</v>
      </c>
      <c r="E62" s="2">
        <f>25471/251.9/(7.5*60)*5</f>
        <v>1.1235058003616956</v>
      </c>
      <c r="F62" t="s">
        <v>135</v>
      </c>
      <c r="G62" t="s">
        <v>119</v>
      </c>
      <c r="H62" t="s">
        <v>119</v>
      </c>
      <c r="I62" t="s">
        <v>121</v>
      </c>
    </row>
    <row r="63" spans="1:9" x14ac:dyDescent="0.25">
      <c r="A63">
        <v>38004371</v>
      </c>
      <c r="B63" t="s">
        <v>42</v>
      </c>
      <c r="C63" t="s">
        <v>43</v>
      </c>
      <c r="D63">
        <v>1</v>
      </c>
      <c r="E63" s="2">
        <f>21571/251.9/(7.5*60)*5</f>
        <v>0.95147986414361962</v>
      </c>
      <c r="F63" t="s">
        <v>125</v>
      </c>
      <c r="G63" s="3" t="s">
        <v>9</v>
      </c>
      <c r="H63" s="3" t="s">
        <v>9</v>
      </c>
      <c r="I63" t="s">
        <v>121</v>
      </c>
    </row>
  </sheetData>
  <autoFilter ref="A1:H63" xr:uid="{B01908DF-AC8E-4A47-8381-A0A0F45C789A}">
    <sortState xmlns:xlrd2="http://schemas.microsoft.com/office/spreadsheetml/2017/richdata2" ref="A2:H63">
      <sortCondition ref="B1:B63"/>
    </sortState>
  </autoFilter>
  <conditionalFormatting sqref="B1:B1048576">
    <cfRule type="duplicateValues" dxfId="1" priority="1"/>
  </conditionalFormatting>
  <conditionalFormatting sqref="B71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61632A9079424993A897DC15346D5B" ma:contentTypeVersion="18" ma:contentTypeDescription="Create a new document." ma:contentTypeScope="" ma:versionID="dd1bdb40f0f50b53df5d23140a9fe09a">
  <xsd:schema xmlns:xsd="http://www.w3.org/2001/XMLSchema" xmlns:xs="http://www.w3.org/2001/XMLSchema" xmlns:p="http://schemas.microsoft.com/office/2006/metadata/properties" xmlns:ns2="1fd57a85-5f09-446c-9d29-22a13ed0863b" xmlns:ns3="47a2ec26-e196-46c3-886b-68c32d2bf91e" targetNamespace="http://schemas.microsoft.com/office/2006/metadata/properties" ma:root="true" ma:fieldsID="53cf7c9b62e46c8b92b516cf561a5f37" ns2:_="" ns3:_="">
    <xsd:import namespace="1fd57a85-5f09-446c-9d29-22a13ed0863b"/>
    <xsd:import namespace="47a2ec26-e196-46c3-886b-68c32d2bf9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57a85-5f09-446c-9d29-22a13ed08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2ec26-e196-46c3-886b-68c32d2bf9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32a1089-9da0-469c-9676-202e596564c5}" ma:internalName="TaxCatchAll" ma:showField="CatchAllData" ma:web="47a2ec26-e196-46c3-886b-68c32d2bf9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d57a85-5f09-446c-9d29-22a13ed0863b">
      <Terms xmlns="http://schemas.microsoft.com/office/infopath/2007/PartnerControls"/>
    </lcf76f155ced4ddcb4097134ff3c332f>
    <TaxCatchAll xmlns="47a2ec26-e196-46c3-886b-68c32d2bf91e" xsi:nil="true"/>
  </documentManagement>
</p:properties>
</file>

<file path=customXml/itemProps1.xml><?xml version="1.0" encoding="utf-8"?>
<ds:datastoreItem xmlns:ds="http://schemas.openxmlformats.org/officeDocument/2006/customXml" ds:itemID="{E2751427-AA9C-4B62-8DE5-72E53625512D}"/>
</file>

<file path=customXml/itemProps2.xml><?xml version="1.0" encoding="utf-8"?>
<ds:datastoreItem xmlns:ds="http://schemas.openxmlformats.org/officeDocument/2006/customXml" ds:itemID="{BFE091F4-9867-410D-8EF1-3871413E0A41}"/>
</file>

<file path=customXml/itemProps3.xml><?xml version="1.0" encoding="utf-8"?>
<ds:datastoreItem xmlns:ds="http://schemas.openxmlformats.org/officeDocument/2006/customXml" ds:itemID="{4774EAF1-CDB9-4FB7-AC93-4B353E126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2025-04-02T14:03:49Z</dcterms:created>
  <dcterms:modified xsi:type="dcterms:W3CDTF">2025-06-16T15:43:37Z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0x010100E261632A9079424993A897DC15346D5B</vt:lpwstr>
  </property>
</Properties>
</file>