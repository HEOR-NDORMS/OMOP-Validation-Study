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rms1149_ox_ac_uk/Documents/Documents/GitHub/OMOP-Validation-Study/Conf Materials/"/>
    </mc:Choice>
  </mc:AlternateContent>
  <xr:revisionPtr revIDLastSave="1" documentId="8_{A4A53B25-53BE-40AF-AD2F-7EE2235DFBF9}" xr6:coauthVersionLast="47" xr6:coauthVersionMax="47" xr10:uidLastSave="{56F52D2C-7FE2-4B51-844E-12DBAD2856EC}"/>
  <bookViews>
    <workbookView xWindow="-108" yWindow="-108" windowWidth="23256" windowHeight="12456" activeTab="3" xr2:uid="{432D2886-B58E-4EA9-B0E1-C359AD349BC9}"/>
  </bookViews>
  <sheets>
    <sheet name="visits" sheetId="1" r:id="rId1"/>
    <sheet name="costs" sheetId="2" r:id="rId2"/>
    <sheet name="Specialties_Source" sheetId="3" r:id="rId3"/>
    <sheet name="Specialties_OMOP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E26" i="4"/>
  <c r="B7" i="4"/>
</calcChain>
</file>

<file path=xl/sharedStrings.xml><?xml version="1.0" encoding="utf-8"?>
<sst xmlns="http://schemas.openxmlformats.org/spreadsheetml/2006/main" count="94" uniqueCount="70">
  <si>
    <t>Estimated values</t>
  </si>
  <si>
    <t>mean</t>
  </si>
  <si>
    <t>Lower CI</t>
  </si>
  <si>
    <t>Upper CI</t>
  </si>
  <si>
    <t>Boostrap values</t>
  </si>
  <si>
    <t>Mean</t>
  </si>
  <si>
    <t>Source</t>
  </si>
  <si>
    <t>OMOP</t>
  </si>
  <si>
    <t>General Practitioner</t>
  </si>
  <si>
    <t>Not Clinically Relevant</t>
  </si>
  <si>
    <t>Nurse</t>
  </si>
  <si>
    <t>Other</t>
  </si>
  <si>
    <t>Advanced Practitioner</t>
  </si>
  <si>
    <t>Associate Practitioner - General Practitioner</t>
  </si>
  <si>
    <t>Associate Practitioner - Nurse</t>
  </si>
  <si>
    <t>Associate Specialist</t>
  </si>
  <si>
    <t>Chiropodist/Podiatrist</t>
  </si>
  <si>
    <t>Clinical Psychologist</t>
  </si>
  <si>
    <t>Community Mental Health Nurse</t>
  </si>
  <si>
    <t>Community Nurse</t>
  </si>
  <si>
    <t>Community Practitioner</t>
  </si>
  <si>
    <t>Consultant</t>
  </si>
  <si>
    <t>Counsellor</t>
  </si>
  <si>
    <t>Dietitian</t>
  </si>
  <si>
    <t>GP Registrar</t>
  </si>
  <si>
    <t>General Medical Practitioner</t>
  </si>
  <si>
    <t>Health Care Support Worker</t>
  </si>
  <si>
    <t>Locum GP</t>
  </si>
  <si>
    <t>Medical Technical Officer - Pharmacy</t>
  </si>
  <si>
    <t>Midwife</t>
  </si>
  <si>
    <t>Modern Matron</t>
  </si>
  <si>
    <t>Nurse Consultant</t>
  </si>
  <si>
    <t>Other Community Health Service</t>
  </si>
  <si>
    <t>Paramedic</t>
  </si>
  <si>
    <t>Paramedic Specialist Practitioner</t>
  </si>
  <si>
    <t>Physiotherapist</t>
  </si>
  <si>
    <t>Salaried General Practitioner</t>
  </si>
  <si>
    <t>Sessional GP</t>
  </si>
  <si>
    <t>Sister/Charge Nurse</t>
  </si>
  <si>
    <t>Social Worker</t>
  </si>
  <si>
    <t>Specialist Nurse Practitioner</t>
  </si>
  <si>
    <t>Specialist Practitioner</t>
  </si>
  <si>
    <t>Staff Nurse</t>
  </si>
  <si>
    <t>Therapist</t>
  </si>
  <si>
    <t>Specialty category</t>
  </si>
  <si>
    <t>Number of visits</t>
  </si>
  <si>
    <t>Specialty</t>
  </si>
  <si>
    <t>Uncategorised</t>
  </si>
  <si>
    <t>Specialty Category</t>
  </si>
  <si>
    <t>Number of Visits</t>
  </si>
  <si>
    <t>Behavioral Health &amp; Social Service Providers, Psychologist, Clinical</t>
  </si>
  <si>
    <t>Clinical Nurse Specialist</t>
  </si>
  <si>
    <t>Community Health Nurse Practitioner</t>
  </si>
  <si>
    <t>Community Health Worker</t>
  </si>
  <si>
    <t>Community Psych / Mental Health Nurse</t>
  </si>
  <si>
    <t>General Practice</t>
  </si>
  <si>
    <t>Marriage and Family Therapist</t>
  </si>
  <si>
    <t>Medical Physician Assistant</t>
  </si>
  <si>
    <t>No matching concept</t>
  </si>
  <si>
    <t>Nurse Practitioner</t>
  </si>
  <si>
    <t>Pharmacy Technician</t>
  </si>
  <si>
    <t>Physical Hand Therapist</t>
  </si>
  <si>
    <t>Physician Assistant</t>
  </si>
  <si>
    <t>Podiatrist</t>
  </si>
  <si>
    <t>Professional Behavioral Health Counselor</t>
  </si>
  <si>
    <t>Registered Community Health Nurse</t>
  </si>
  <si>
    <t>Registered Dietitian</t>
  </si>
  <si>
    <t>Registered General Practice Nurse</t>
  </si>
  <si>
    <t>Registered Nurse</t>
  </si>
  <si>
    <t>Specialist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</si>
</sst>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0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333333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vertical="center"/>
    </xf>
    <xf numFmtId="170" fontId="0" fillId="0" borderId="1" xfId="1" applyNumberFormat="1" applyFont="1" applyBorder="1" applyAlignment="1">
      <alignment horizontal="right" vertical="center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vertical="center"/>
    </xf>
    <xf numFmtId="170" fontId="3" fillId="0" borderId="1" xfId="1" applyNumberFormat="1" applyFont="1" applyFill="1" applyBorder="1" applyAlignment="1">
      <alignment horizontal="right" vertical="center"/>
    </xf>
    <xf numFmtId="0" fontId="0" fillId="0" borderId="1" xfId="0" applyFont="1" applyFill="1" applyBorder="1" applyAlignment="1">
      <alignment vertical="center"/>
    </xf>
    <xf numFmtId="170" fontId="2" fillId="0" borderId="1" xfId="1" applyNumberFormat="1" applyFont="1" applyFill="1" applyBorder="1" applyAlignment="1">
      <alignment horizontal="left" vertical="center" wrapText="1"/>
    </xf>
    <xf numFmtId="170" fontId="0" fillId="0" borderId="1" xfId="1" applyNumberFormat="1" applyFont="1" applyFill="1" applyBorder="1" applyAlignment="1">
      <alignment horizontal="right" vertical="center"/>
    </xf>
    <xf numFmtId="0" fontId="0" fillId="0" borderId="0" xfId="0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089C7-9534-4BA9-9471-11B5B5EE0C51}">
  <dimension ref="A1:C10"/>
  <sheetViews>
    <sheetView workbookViewId="0">
      <selection activeCell="D4" sqref="D4"/>
    </sheetView>
  </sheetViews>
  <sheetFormatPr defaultRowHeight="14.4" x14ac:dyDescent="0.3"/>
  <cols>
    <col min="1" max="1" width="14.5546875" bestFit="1" customWidth="1"/>
  </cols>
  <sheetData>
    <row r="1" spans="1:3" x14ac:dyDescent="0.3">
      <c r="A1" s="14"/>
      <c r="B1" s="14" t="s">
        <v>6</v>
      </c>
      <c r="C1" s="14" t="s">
        <v>7</v>
      </c>
    </row>
    <row r="2" spans="1:3" x14ac:dyDescent="0.3">
      <c r="A2" s="14" t="s">
        <v>0</v>
      </c>
      <c r="B2" s="14"/>
      <c r="C2" s="14"/>
    </row>
    <row r="3" spans="1:3" x14ac:dyDescent="0.3">
      <c r="A3" s="14" t="s">
        <v>1</v>
      </c>
      <c r="B3" s="14">
        <v>21.799900000000001</v>
      </c>
      <c r="C3" s="14">
        <v>24.121400000000001</v>
      </c>
    </row>
    <row r="4" spans="1:3" x14ac:dyDescent="0.3">
      <c r="A4" s="14" t="s">
        <v>2</v>
      </c>
      <c r="B4" s="14">
        <v>21.473400000000002</v>
      </c>
      <c r="C4" s="14">
        <v>23.7806</v>
      </c>
    </row>
    <row r="5" spans="1:3" x14ac:dyDescent="0.3">
      <c r="A5" s="14" t="s">
        <v>3</v>
      </c>
      <c r="B5" s="14">
        <v>22.1053</v>
      </c>
      <c r="C5" s="14">
        <v>24.5062</v>
      </c>
    </row>
    <row r="6" spans="1:3" x14ac:dyDescent="0.3">
      <c r="A6" s="14"/>
      <c r="B6" s="14"/>
      <c r="C6" s="14"/>
    </row>
    <row r="7" spans="1:3" x14ac:dyDescent="0.3">
      <c r="A7" s="14" t="s">
        <v>4</v>
      </c>
      <c r="B7" s="14"/>
      <c r="C7" s="14"/>
    </row>
    <row r="8" spans="1:3" x14ac:dyDescent="0.3">
      <c r="A8" s="14" t="s">
        <v>5</v>
      </c>
      <c r="B8" s="15">
        <v>21.801729999999999</v>
      </c>
      <c r="C8" s="15">
        <v>24.138760000000001</v>
      </c>
    </row>
    <row r="9" spans="1:3" x14ac:dyDescent="0.3">
      <c r="A9" s="14" t="s">
        <v>2</v>
      </c>
      <c r="B9" s="15">
        <v>21.49511</v>
      </c>
      <c r="C9" s="15">
        <v>23.797429999999999</v>
      </c>
    </row>
    <row r="10" spans="1:3" x14ac:dyDescent="0.3">
      <c r="A10" s="14" t="s">
        <v>3</v>
      </c>
      <c r="B10" s="15">
        <v>22.07591</v>
      </c>
      <c r="C10" s="15">
        <v>24.477399999999999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44386-630C-4298-A934-D8406CB1B077}">
  <dimension ref="A1:C10"/>
  <sheetViews>
    <sheetView workbookViewId="0">
      <selection sqref="A1:C10"/>
    </sheetView>
  </sheetViews>
  <sheetFormatPr defaultRowHeight="14.4" x14ac:dyDescent="0.3"/>
  <cols>
    <col min="1" max="1" width="14.5546875" bestFit="1" customWidth="1"/>
  </cols>
  <sheetData>
    <row r="1" spans="1:3" x14ac:dyDescent="0.3">
      <c r="A1" s="11"/>
      <c r="B1" s="11" t="s">
        <v>6</v>
      </c>
      <c r="C1" s="11" t="s">
        <v>7</v>
      </c>
    </row>
    <row r="2" spans="1:3" x14ac:dyDescent="0.3">
      <c r="A2" s="11" t="s">
        <v>0</v>
      </c>
      <c r="B2" s="11"/>
      <c r="C2" s="11"/>
    </row>
    <row r="3" spans="1:3" x14ac:dyDescent="0.3">
      <c r="A3" s="11" t="s">
        <v>1</v>
      </c>
      <c r="B3" s="12">
        <v>858.43420000000003</v>
      </c>
      <c r="C3" s="13">
        <v>939.20939999999996</v>
      </c>
    </row>
    <row r="4" spans="1:3" x14ac:dyDescent="0.3">
      <c r="A4" s="11" t="s">
        <v>2</v>
      </c>
      <c r="B4" s="13">
        <v>858.04110000000003</v>
      </c>
      <c r="C4" s="12">
        <v>938.78970000000004</v>
      </c>
    </row>
    <row r="5" spans="1:3" x14ac:dyDescent="0.3">
      <c r="A5" s="11" t="s">
        <v>3</v>
      </c>
      <c r="B5" s="12">
        <v>858.82730000000004</v>
      </c>
      <c r="C5" s="12">
        <v>939.62909999999999</v>
      </c>
    </row>
    <row r="6" spans="1:3" x14ac:dyDescent="0.3">
      <c r="A6" s="11"/>
      <c r="B6" s="11"/>
      <c r="C6" s="11"/>
    </row>
    <row r="7" spans="1:3" x14ac:dyDescent="0.3">
      <c r="A7" s="11" t="s">
        <v>4</v>
      </c>
      <c r="B7" s="11"/>
      <c r="C7" s="11"/>
    </row>
    <row r="8" spans="1:3" x14ac:dyDescent="0.3">
      <c r="A8" s="11" t="s">
        <v>5</v>
      </c>
      <c r="B8" s="13">
        <v>858.83159999999998</v>
      </c>
      <c r="C8" s="13">
        <v>938.65549999999996</v>
      </c>
    </row>
    <row r="9" spans="1:3" x14ac:dyDescent="0.3">
      <c r="A9" s="11" t="s">
        <v>2</v>
      </c>
      <c r="B9" s="13">
        <v>847.99170000000004</v>
      </c>
      <c r="C9" s="13">
        <v>925.64589999999998</v>
      </c>
    </row>
    <row r="10" spans="1:3" x14ac:dyDescent="0.3">
      <c r="A10" s="11" t="s">
        <v>3</v>
      </c>
      <c r="B10" s="13">
        <v>869.62</v>
      </c>
      <c r="C10" s="13">
        <v>951.10429999999997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8DDF9-1F3A-48E9-8238-5DD8EFEE6FBC}">
  <dimension ref="A1:E34"/>
  <sheetViews>
    <sheetView workbookViewId="0"/>
  </sheetViews>
  <sheetFormatPr defaultRowHeight="14.4" x14ac:dyDescent="0.3"/>
  <cols>
    <col min="1" max="1" width="18.88671875" bestFit="1" customWidth="1"/>
    <col min="2" max="2" width="11.44140625" bestFit="1" customWidth="1"/>
    <col min="4" max="4" width="36.88671875" bestFit="1" customWidth="1"/>
    <col min="5" max="5" width="13.5546875" bestFit="1" customWidth="1"/>
  </cols>
  <sheetData>
    <row r="1" spans="1:5" ht="28.8" x14ac:dyDescent="0.3">
      <c r="A1" s="5" t="s">
        <v>44</v>
      </c>
      <c r="B1" s="5" t="s">
        <v>45</v>
      </c>
      <c r="D1" s="5" t="s">
        <v>46</v>
      </c>
      <c r="E1" s="9" t="s">
        <v>45</v>
      </c>
    </row>
    <row r="2" spans="1:5" x14ac:dyDescent="0.3">
      <c r="A2" s="6" t="s">
        <v>8</v>
      </c>
      <c r="B2" s="7">
        <v>404780</v>
      </c>
      <c r="D2" s="8" t="s">
        <v>12</v>
      </c>
      <c r="E2" s="10">
        <v>267</v>
      </c>
    </row>
    <row r="3" spans="1:5" x14ac:dyDescent="0.3">
      <c r="A3" s="6" t="s">
        <v>9</v>
      </c>
      <c r="B3" s="7">
        <v>427552</v>
      </c>
      <c r="D3" s="8" t="s">
        <v>13</v>
      </c>
      <c r="E3" s="10">
        <v>2122</v>
      </c>
    </row>
    <row r="4" spans="1:5" x14ac:dyDescent="0.3">
      <c r="A4" s="6" t="s">
        <v>10</v>
      </c>
      <c r="B4" s="7">
        <v>40711</v>
      </c>
      <c r="D4" s="8" t="s">
        <v>14</v>
      </c>
      <c r="E4" s="10">
        <v>1950</v>
      </c>
    </row>
    <row r="5" spans="1:5" x14ac:dyDescent="0.3">
      <c r="A5" s="6" t="s">
        <v>11</v>
      </c>
      <c r="B5" s="7">
        <v>42958</v>
      </c>
      <c r="D5" s="8" t="s">
        <v>15</v>
      </c>
      <c r="E5" s="10">
        <v>192</v>
      </c>
    </row>
    <row r="6" spans="1:5" x14ac:dyDescent="0.3">
      <c r="B6">
        <f>SUM(B2:B5)</f>
        <v>916001</v>
      </c>
      <c r="D6" s="8" t="s">
        <v>16</v>
      </c>
      <c r="E6" s="10">
        <v>111</v>
      </c>
    </row>
    <row r="7" spans="1:5" x14ac:dyDescent="0.3">
      <c r="D7" s="8" t="s">
        <v>17</v>
      </c>
      <c r="E7" s="10">
        <v>8</v>
      </c>
    </row>
    <row r="8" spans="1:5" x14ac:dyDescent="0.3">
      <c r="D8" s="8" t="s">
        <v>18</v>
      </c>
      <c r="E8" s="10">
        <v>90</v>
      </c>
    </row>
    <row r="9" spans="1:5" x14ac:dyDescent="0.3">
      <c r="D9" s="8" t="s">
        <v>19</v>
      </c>
      <c r="E9" s="10">
        <v>15343</v>
      </c>
    </row>
    <row r="10" spans="1:5" x14ac:dyDescent="0.3">
      <c r="D10" s="8" t="s">
        <v>20</v>
      </c>
      <c r="E10" s="10">
        <v>43287</v>
      </c>
    </row>
    <row r="11" spans="1:5" x14ac:dyDescent="0.3">
      <c r="D11" s="8" t="s">
        <v>21</v>
      </c>
      <c r="E11" s="10">
        <v>2046</v>
      </c>
    </row>
    <row r="12" spans="1:5" x14ac:dyDescent="0.3">
      <c r="D12" s="8" t="s">
        <v>22</v>
      </c>
      <c r="E12" s="10">
        <v>128</v>
      </c>
    </row>
    <row r="13" spans="1:5" x14ac:dyDescent="0.3">
      <c r="D13" s="8" t="s">
        <v>23</v>
      </c>
      <c r="E13" s="10">
        <v>79</v>
      </c>
    </row>
    <row r="14" spans="1:5" x14ac:dyDescent="0.3">
      <c r="D14" s="8" t="s">
        <v>24</v>
      </c>
      <c r="E14" s="10">
        <v>11921</v>
      </c>
    </row>
    <row r="15" spans="1:5" x14ac:dyDescent="0.3">
      <c r="D15" s="8" t="s">
        <v>25</v>
      </c>
      <c r="E15" s="10">
        <v>303981</v>
      </c>
    </row>
    <row r="16" spans="1:5" x14ac:dyDescent="0.3">
      <c r="D16" s="8" t="s">
        <v>26</v>
      </c>
      <c r="E16" s="10">
        <v>37858</v>
      </c>
    </row>
    <row r="17" spans="4:5" x14ac:dyDescent="0.3">
      <c r="D17" s="8" t="s">
        <v>27</v>
      </c>
      <c r="E17" s="10">
        <v>4765</v>
      </c>
    </row>
    <row r="18" spans="4:5" x14ac:dyDescent="0.3">
      <c r="D18" s="8" t="s">
        <v>28</v>
      </c>
      <c r="E18" s="10">
        <v>837</v>
      </c>
    </row>
    <row r="19" spans="4:5" x14ac:dyDescent="0.3">
      <c r="D19" s="8" t="s">
        <v>29</v>
      </c>
      <c r="E19" s="10">
        <v>3</v>
      </c>
    </row>
    <row r="20" spans="4:5" x14ac:dyDescent="0.3">
      <c r="D20" s="8" t="s">
        <v>30</v>
      </c>
      <c r="E20" s="10">
        <v>212</v>
      </c>
    </row>
    <row r="21" spans="4:5" x14ac:dyDescent="0.3">
      <c r="D21" s="8" t="s">
        <v>9</v>
      </c>
      <c r="E21" s="10">
        <v>427552</v>
      </c>
    </row>
    <row r="22" spans="4:5" x14ac:dyDescent="0.3">
      <c r="D22" s="8" t="s">
        <v>31</v>
      </c>
      <c r="E22" s="10">
        <v>1580</v>
      </c>
    </row>
    <row r="23" spans="4:5" x14ac:dyDescent="0.3">
      <c r="D23" s="8" t="s">
        <v>32</v>
      </c>
      <c r="E23" s="10">
        <v>334</v>
      </c>
    </row>
    <row r="24" spans="4:5" x14ac:dyDescent="0.3">
      <c r="D24" s="8" t="s">
        <v>33</v>
      </c>
      <c r="E24" s="10">
        <v>211</v>
      </c>
    </row>
    <row r="25" spans="4:5" x14ac:dyDescent="0.3">
      <c r="D25" s="8" t="s">
        <v>34</v>
      </c>
      <c r="E25" s="10">
        <v>217</v>
      </c>
    </row>
    <row r="26" spans="4:5" x14ac:dyDescent="0.3">
      <c r="D26" s="8" t="s">
        <v>35</v>
      </c>
      <c r="E26" s="10">
        <v>474</v>
      </c>
    </row>
    <row r="27" spans="4:5" x14ac:dyDescent="0.3">
      <c r="D27" s="8" t="s">
        <v>36</v>
      </c>
      <c r="E27" s="10">
        <v>26363</v>
      </c>
    </row>
    <row r="28" spans="4:5" x14ac:dyDescent="0.3">
      <c r="D28" s="8" t="s">
        <v>37</v>
      </c>
      <c r="E28" s="10">
        <v>12341</v>
      </c>
    </row>
    <row r="29" spans="4:5" x14ac:dyDescent="0.3">
      <c r="D29" s="8" t="s">
        <v>38</v>
      </c>
      <c r="E29" s="10">
        <v>2480</v>
      </c>
    </row>
    <row r="30" spans="4:5" x14ac:dyDescent="0.3">
      <c r="D30" s="8" t="s">
        <v>39</v>
      </c>
      <c r="E30" s="10">
        <v>7</v>
      </c>
    </row>
    <row r="31" spans="4:5" x14ac:dyDescent="0.3">
      <c r="D31" s="8" t="s">
        <v>40</v>
      </c>
      <c r="E31" s="10">
        <v>11985</v>
      </c>
    </row>
    <row r="32" spans="4:5" x14ac:dyDescent="0.3">
      <c r="D32" s="8" t="s">
        <v>41</v>
      </c>
      <c r="E32" s="10">
        <v>135</v>
      </c>
    </row>
    <row r="33" spans="4:5" x14ac:dyDescent="0.3">
      <c r="D33" s="8" t="s">
        <v>42</v>
      </c>
      <c r="E33" s="10">
        <v>7071</v>
      </c>
    </row>
    <row r="34" spans="4:5" x14ac:dyDescent="0.3">
      <c r="D34" s="8" t="s">
        <v>43</v>
      </c>
      <c r="E34" s="10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524AE-57F3-4F76-B0A9-6D863C8040F0}">
  <dimension ref="A1:E26"/>
  <sheetViews>
    <sheetView tabSelected="1" workbookViewId="0">
      <selection activeCell="B12" sqref="B12"/>
    </sheetView>
  </sheetViews>
  <sheetFormatPr defaultRowHeight="14.4" x14ac:dyDescent="0.3"/>
  <cols>
    <col min="1" max="1" width="18.88671875" bestFit="1" customWidth="1"/>
    <col min="2" max="2" width="12.44140625" bestFit="1" customWidth="1"/>
    <col min="4" max="4" width="55" bestFit="1" customWidth="1"/>
    <col min="5" max="5" width="11.44140625" bestFit="1" customWidth="1"/>
  </cols>
  <sheetData>
    <row r="1" spans="1:5" ht="28.8" x14ac:dyDescent="0.3">
      <c r="A1" s="5" t="s">
        <v>48</v>
      </c>
      <c r="B1" s="5" t="s">
        <v>49</v>
      </c>
      <c r="D1" s="2" t="s">
        <v>46</v>
      </c>
      <c r="E1" s="2" t="s">
        <v>45</v>
      </c>
    </row>
    <row r="2" spans="1:5" x14ac:dyDescent="0.3">
      <c r="A2" s="8" t="s">
        <v>8</v>
      </c>
      <c r="B2" s="10">
        <v>397191</v>
      </c>
      <c r="D2" s="3" t="s">
        <v>50</v>
      </c>
      <c r="E2" s="4">
        <v>8</v>
      </c>
    </row>
    <row r="3" spans="1:5" x14ac:dyDescent="0.3">
      <c r="A3" s="8" t="s">
        <v>9</v>
      </c>
      <c r="B3" s="10">
        <v>350318</v>
      </c>
      <c r="D3" s="3" t="s">
        <v>51</v>
      </c>
      <c r="E3" s="4">
        <v>11862</v>
      </c>
    </row>
    <row r="4" spans="1:5" x14ac:dyDescent="0.3">
      <c r="A4" s="8" t="s">
        <v>10</v>
      </c>
      <c r="B4" s="10">
        <v>42557</v>
      </c>
      <c r="D4" s="3" t="s">
        <v>52</v>
      </c>
      <c r="E4" s="4">
        <v>42901</v>
      </c>
    </row>
    <row r="5" spans="1:5" x14ac:dyDescent="0.3">
      <c r="A5" s="8" t="s">
        <v>11</v>
      </c>
      <c r="B5" s="10">
        <v>67002</v>
      </c>
      <c r="D5" s="3" t="s">
        <v>53</v>
      </c>
      <c r="E5" s="4">
        <v>22347</v>
      </c>
    </row>
    <row r="6" spans="1:5" x14ac:dyDescent="0.3">
      <c r="A6" s="8" t="s">
        <v>47</v>
      </c>
      <c r="B6" s="10">
        <v>31006</v>
      </c>
      <c r="D6" s="3" t="s">
        <v>54</v>
      </c>
      <c r="E6" s="4">
        <v>90</v>
      </c>
    </row>
    <row r="7" spans="1:5" x14ac:dyDescent="0.3">
      <c r="A7" s="11"/>
      <c r="B7" s="11">
        <f>SUM(B2:B6)</f>
        <v>888074</v>
      </c>
      <c r="D7" s="3" t="s">
        <v>55</v>
      </c>
      <c r="E7" s="4">
        <v>325922</v>
      </c>
    </row>
    <row r="8" spans="1:5" x14ac:dyDescent="0.3">
      <c r="D8" s="3" t="s">
        <v>56</v>
      </c>
      <c r="E8" s="4">
        <v>51</v>
      </c>
    </row>
    <row r="9" spans="1:5" x14ac:dyDescent="0.3">
      <c r="D9" s="3" t="s">
        <v>57</v>
      </c>
      <c r="E9" s="4">
        <v>36677</v>
      </c>
    </row>
    <row r="10" spans="1:5" x14ac:dyDescent="0.3">
      <c r="D10" s="3" t="s">
        <v>29</v>
      </c>
      <c r="E10" s="4">
        <v>3</v>
      </c>
    </row>
    <row r="11" spans="1:5" x14ac:dyDescent="0.3">
      <c r="D11" s="3" t="s">
        <v>58</v>
      </c>
      <c r="E11" s="4">
        <v>31006</v>
      </c>
    </row>
    <row r="12" spans="1:5" x14ac:dyDescent="0.3">
      <c r="D12" s="3" t="s">
        <v>9</v>
      </c>
      <c r="E12" s="4">
        <v>350318</v>
      </c>
    </row>
    <row r="13" spans="1:5" x14ac:dyDescent="0.3">
      <c r="D13" s="3" t="s">
        <v>59</v>
      </c>
      <c r="E13" s="4">
        <v>1916</v>
      </c>
    </row>
    <row r="14" spans="1:5" x14ac:dyDescent="0.3">
      <c r="D14" s="3" t="s">
        <v>33</v>
      </c>
      <c r="E14" s="4">
        <v>426</v>
      </c>
    </row>
    <row r="15" spans="1:5" x14ac:dyDescent="0.3">
      <c r="D15" s="3" t="s">
        <v>60</v>
      </c>
      <c r="E15" s="4">
        <v>6094</v>
      </c>
    </row>
    <row r="16" spans="1:5" x14ac:dyDescent="0.3">
      <c r="D16" s="3" t="s">
        <v>61</v>
      </c>
      <c r="E16" s="4">
        <v>468</v>
      </c>
    </row>
    <row r="17" spans="4:5" x14ac:dyDescent="0.3">
      <c r="D17" s="3" t="s">
        <v>62</v>
      </c>
      <c r="E17" s="4">
        <v>28368</v>
      </c>
    </row>
    <row r="18" spans="4:5" x14ac:dyDescent="0.3">
      <c r="D18" s="3" t="s">
        <v>63</v>
      </c>
      <c r="E18" s="4">
        <v>112</v>
      </c>
    </row>
    <row r="19" spans="4:5" x14ac:dyDescent="0.3">
      <c r="D19" s="3" t="s">
        <v>64</v>
      </c>
      <c r="E19" s="4">
        <v>141</v>
      </c>
    </row>
    <row r="20" spans="4:5" x14ac:dyDescent="0.3">
      <c r="D20" s="3" t="s">
        <v>65</v>
      </c>
      <c r="E20" s="4">
        <v>15197</v>
      </c>
    </row>
    <row r="21" spans="4:5" x14ac:dyDescent="0.3">
      <c r="D21" s="3" t="s">
        <v>66</v>
      </c>
      <c r="E21" s="4">
        <v>75</v>
      </c>
    </row>
    <row r="22" spans="4:5" x14ac:dyDescent="0.3">
      <c r="D22" s="3" t="s">
        <v>67</v>
      </c>
      <c r="E22" s="4">
        <v>3848</v>
      </c>
    </row>
    <row r="23" spans="4:5" x14ac:dyDescent="0.3">
      <c r="D23" s="3" t="s">
        <v>68</v>
      </c>
      <c r="E23" s="4">
        <v>9644</v>
      </c>
    </row>
    <row r="24" spans="4:5" x14ac:dyDescent="0.3">
      <c r="D24" s="3" t="s">
        <v>39</v>
      </c>
      <c r="E24" s="4">
        <v>7</v>
      </c>
    </row>
    <row r="25" spans="4:5" x14ac:dyDescent="0.3">
      <c r="D25" s="3" t="s">
        <v>69</v>
      </c>
      <c r="E25" s="4">
        <v>593</v>
      </c>
    </row>
    <row r="26" spans="4:5" x14ac:dyDescent="0.3">
      <c r="D26" s="1"/>
      <c r="E26" s="1">
        <f>SUM(E2:E25)</f>
        <v>888074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visits</vt:lpstr>
      <vt:lpstr>costs</vt:lpstr>
      <vt:lpstr>Specialties_Source</vt:lpstr>
      <vt:lpstr>Specialties_OMOP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Njoki Njuki</dc:creator>
  <cp:lastModifiedBy>Njoki Njuki</cp:lastModifiedBy>
  <dcterms:created xsi:type="dcterms:W3CDTF">2025-06-25T16:43:06Z</dcterms:created>
  <dcterms:modified xsi:type="dcterms:W3CDTF">2025-06-25T17:16:26Z</dcterms:modified>
</cp:coreProperties>
</file>