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"/>
    </mc:Choice>
  </mc:AlternateContent>
  <xr:revisionPtr revIDLastSave="101" documentId="8_{F50C80C4-FAF9-40D5-B637-B862E32B1EEC}" xr6:coauthVersionLast="47" xr6:coauthVersionMax="47" xr10:uidLastSave="{18D0D583-5AFC-4264-8B97-BF85B3F16B25}"/>
  <bookViews>
    <workbookView xWindow="-120" yWindow="-120" windowWidth="29040" windowHeight="15720" activeTab="2" xr2:uid="{00000000-000D-0000-FFFF-FFFF00000000}"/>
  </bookViews>
  <sheets>
    <sheet name="source_cprd_aurum" sheetId="1" r:id="rId1"/>
    <sheet name="omop" sheetId="3" r:id="rId2"/>
    <sheet name="master" sheetId="4" r:id="rId3"/>
    <sheet name="notes" sheetId="2" r:id="rId4"/>
  </sheets>
  <definedNames>
    <definedName name="_xlnm._FilterDatabase" localSheetId="2" hidden="1">master!$A$1:$F$157</definedName>
    <definedName name="_xlnm._FilterDatabase" localSheetId="1" hidden="1">omop!$A$1:$G$37</definedName>
    <definedName name="_xlnm._FilterDatabase" localSheetId="0" hidden="1">source_cprd_aurum!$A$1:$H$157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4" l="1"/>
  <c r="E80" i="4"/>
  <c r="E69" i="4"/>
  <c r="E125" i="4"/>
  <c r="E66" i="4"/>
  <c r="E63" i="4"/>
  <c r="E76" i="4"/>
  <c r="E67" i="4"/>
  <c r="E54" i="4"/>
  <c r="E55" i="4"/>
  <c r="E109" i="4"/>
  <c r="E56" i="4"/>
  <c r="E110" i="4"/>
  <c r="E111" i="4"/>
  <c r="E57" i="4"/>
  <c r="E68" i="4"/>
  <c r="E99" i="4"/>
  <c r="E72" i="4"/>
  <c r="E123" i="4"/>
  <c r="E53" i="4"/>
  <c r="E6" i="4"/>
  <c r="E124" i="4"/>
</calcChain>
</file>

<file path=xl/sharedStrings.xml><?xml version="1.0" encoding="utf-8"?>
<sst xmlns="http://schemas.openxmlformats.org/spreadsheetml/2006/main" count="1190" uniqueCount="299">
  <si>
    <t>description</t>
  </si>
  <si>
    <t>n visits</t>
  </si>
  <si>
    <t>percent</t>
  </si>
  <si>
    <t>is_clinically_relevant</t>
  </si>
  <si>
    <t>unit_cost</t>
  </si>
  <si>
    <t>Notes</t>
  </si>
  <si>
    <t>category</t>
  </si>
  <si>
    <t>General Medical Practitioner</t>
  </si>
  <si>
    <t>Cost per surgery consultation lasting 10 minutes - GP (including direct care staffcosts, without qualification)</t>
  </si>
  <si>
    <t>General Practitioner</t>
  </si>
  <si>
    <t>Receptionist</t>
  </si>
  <si>
    <t>Based on estimated 5-minute encounter applied to mean basic salary per full-time equivalent of "Admin and Clerical" role at 251.9 working days per year</t>
  </si>
  <si>
    <t>Administrative Non-clinical</t>
  </si>
  <si>
    <t>Unit Costs of Health and Social Care 2023 Manual (2024)</t>
  </si>
  <si>
    <t>Manager</t>
  </si>
  <si>
    <t>Based on estimated 5-minute encounter applied to mean basic salary per full-time equivalent of Manager at 251.9 working days per year</t>
  </si>
  <si>
    <t>Community Practitioner</t>
  </si>
  <si>
    <t>Nurse</t>
  </si>
  <si>
    <t>Health Care Support Worker</t>
  </si>
  <si>
    <t>Other</t>
  </si>
  <si>
    <t>Clerical Worker</t>
  </si>
  <si>
    <t>System Administrator</t>
  </si>
  <si>
    <t>Healthcare Assistant</t>
  </si>
  <si>
    <t xml:space="preserve">Based on a 5-minute encounter applied to mean annual basic pay per FTE for non-medical occupational groupings: Healthcare assistants and other support staff at 251.9 working days per year </t>
  </si>
  <si>
    <t>Salaried General Practitioner</t>
  </si>
  <si>
    <t>Community Administrator</t>
  </si>
  <si>
    <t>Community Nurse</t>
  </si>
  <si>
    <t>Nurse (Community), Nurse (Schools), Nurse (Learning disabilities), Band 5, Cost per hour face-to-face time, duration of contact 15.5 minutes per surgery consultation based on the 2006/07 UK general practice survey (PSSRU 2015).</t>
  </si>
  <si>
    <t>Desktop Support Administrator</t>
  </si>
  <si>
    <t>Senior Administrator</t>
  </si>
  <si>
    <t>Specialist Nurse Practitioner</t>
  </si>
  <si>
    <t>Sessional GP</t>
  </si>
  <si>
    <t>Medical Secretary</t>
  </si>
  <si>
    <t>Secretary</t>
  </si>
  <si>
    <t>GP Registrar</t>
  </si>
  <si>
    <t>Staff Nurse</t>
  </si>
  <si>
    <t>Dispenser</t>
  </si>
  <si>
    <t>Phlebotomist</t>
  </si>
  <si>
    <t xml:space="preserve">Based on a 10-minute encounter applied to mean annual basic pay per FTE for non-medical occupational groupings: Healthcare assistants and other support staff at 251.9 working days per year </t>
  </si>
  <si>
    <t>Locum GP</t>
  </si>
  <si>
    <t>Pharmacist</t>
  </si>
  <si>
    <t xml:space="preserve">Based on a 5-minute encounter applied to mean basic salary per full-time equivalent of mean annual basic pay per FTE for allied health professional staff by Agenda for Change under Band 6 at 251.9 working days per year </t>
  </si>
  <si>
    <t>Consultant</t>
  </si>
  <si>
    <t>Senior Manager</t>
  </si>
  <si>
    <t>Based on estimated 5-minute encounter applied to mean basic salary per full-time equivalent of Senior Manager at 251.9 working days per year</t>
  </si>
  <si>
    <t>Clinical Coder</t>
  </si>
  <si>
    <t xml:space="preserve">Based on a 5-minute encounter applied to mean annual basic pay per FTE for allied health professional staff by Agenda for Change band, band 7, at 251.9 working days per year </t>
  </si>
  <si>
    <t>Associate Practitioner - General Practitioner</t>
  </si>
  <si>
    <t>Sister/Charge Nurse</t>
  </si>
  <si>
    <t>Associate Practitioner - Nurse</t>
  </si>
  <si>
    <t>Nurse Manager</t>
  </si>
  <si>
    <t xml:space="preserve">Based on a 5-minute encounter applied to  annual basic pay per FTE for nursing, midwifery &amp; health visiting staff by Agenda for Change band, band 8a, at 251.9 working days per year </t>
  </si>
  <si>
    <t>Enrolled Nurse</t>
  </si>
  <si>
    <t>Nurse Consultant</t>
  </si>
  <si>
    <t>Appointments Clerk</t>
  </si>
  <si>
    <t>Technician - Admin &amp; Clerical</t>
  </si>
  <si>
    <t>System Worker</t>
  </si>
  <si>
    <t>Based on 5 minutes of Support and outreach worker over reported cost per hour</t>
  </si>
  <si>
    <t>Helpdesk Administrator</t>
  </si>
  <si>
    <t>Medical Records Clerk</t>
  </si>
  <si>
    <t>Medical Technical Officer - Pharmacy</t>
  </si>
  <si>
    <t>Desktop Support Technician</t>
  </si>
  <si>
    <t>Other Community Health Service - Admin Clerk</t>
  </si>
  <si>
    <t>Clinical Assistant</t>
  </si>
  <si>
    <t>Assistant Practitioner</t>
  </si>
  <si>
    <t xml:space="preserve">Based on a 5-minute encounter applied to mean annual basic pay per FTE for allied health professional staff by Agenda for Change band, band 4, at 251.9 working days per year </t>
  </si>
  <si>
    <t>Network Administrator</t>
  </si>
  <si>
    <t>Clinical Application Administrator</t>
  </si>
  <si>
    <t>Physiotherapist</t>
  </si>
  <si>
    <t>Community-based scientific and professional staff, band 5(Physiotherapist, Occupational Therapist, Speech and Language Therapist, Podiatrist, Clinical psychology assistant practitioner (higher level), Counsellor (entry level). Cost per working hour</t>
  </si>
  <si>
    <t>Health Records Administrator</t>
  </si>
  <si>
    <t>Practitioner</t>
  </si>
  <si>
    <t>Health Records Clerk</t>
  </si>
  <si>
    <t>Helper/Assistant</t>
  </si>
  <si>
    <t>Advanced Practitioner</t>
  </si>
  <si>
    <t>Helpdesk Technician</t>
  </si>
  <si>
    <t>Other Community Health Service</t>
  </si>
  <si>
    <t>Caldicott Guardian</t>
  </si>
  <si>
    <t>Information Officer</t>
  </si>
  <si>
    <t>Associate Practitioner</t>
  </si>
  <si>
    <t>Medical Student</t>
  </si>
  <si>
    <t xml:space="preserve">Based on a 5-minute encounter applied to mean annual basic pay per FTE for non-medical occupational groupings: Nursing, midwifery and health visiting learners at 251.9 working days per year </t>
  </si>
  <si>
    <t>Counsellor</t>
  </si>
  <si>
    <t>Network Technician</t>
  </si>
  <si>
    <t>Staff Grade</t>
  </si>
  <si>
    <t>Paramedic</t>
  </si>
  <si>
    <t>Paramedic Specialist Practitioner</t>
  </si>
  <si>
    <t>Medical Records Manager</t>
  </si>
  <si>
    <t>Chiropodist/Podiatrist</t>
  </si>
  <si>
    <t>Associate Specialist</t>
  </si>
  <si>
    <t>Officer</t>
  </si>
  <si>
    <t>Specialist Practitioner</t>
  </si>
  <si>
    <t>Assistant GP</t>
  </si>
  <si>
    <t>Modern Matron</t>
  </si>
  <si>
    <t>House Officer - Post Registration</t>
  </si>
  <si>
    <t>Paramedic Manager</t>
  </si>
  <si>
    <t>Dietitian</t>
  </si>
  <si>
    <t>Hospital-based scientific and professional staff, band 5, Cost per working hour</t>
  </si>
  <si>
    <t>Deputising Doctor</t>
  </si>
  <si>
    <t>Community Mental Health Nurse</t>
  </si>
  <si>
    <t>Art Therapist</t>
  </si>
  <si>
    <t>Analyst</t>
  </si>
  <si>
    <t>Osteopath</t>
  </si>
  <si>
    <t>Clinical Director - Medical</t>
  </si>
  <si>
    <t>Art Therapist Manager</t>
  </si>
  <si>
    <t>Availability Monitor</t>
  </si>
  <si>
    <t>Child Protection worker</t>
  </si>
  <si>
    <t>Trainee Practitioner</t>
  </si>
  <si>
    <t>Radiologist</t>
  </si>
  <si>
    <t>Therapist</t>
  </si>
  <si>
    <t>Physiotherapist specialist, occupational therapist specialist, speech and language therapist, podiatrist specialist, clinical psychology trainee, counsellor, pharmacist, arts therapist (entry level)</t>
  </si>
  <si>
    <t>Hospital Practitioner</t>
  </si>
  <si>
    <t>Finance Director</t>
  </si>
  <si>
    <t>Intermediate Care staff</t>
  </si>
  <si>
    <t>Porter</t>
  </si>
  <si>
    <t>Medical Technical Officer</t>
  </si>
  <si>
    <t>Student Practice Nurse</t>
  </si>
  <si>
    <t>Senior House Officer</t>
  </si>
  <si>
    <t>Waiting List Manager</t>
  </si>
  <si>
    <t>Physiotherapist Specialist Practitioner</t>
  </si>
  <si>
    <t>Physiotherapist Manager</t>
  </si>
  <si>
    <t>Outpatient Manager</t>
  </si>
  <si>
    <t>Physician Assistant</t>
  </si>
  <si>
    <t>Clinical Team Manager</t>
  </si>
  <si>
    <t>Call Operator</t>
  </si>
  <si>
    <t>Radiographer</t>
  </si>
  <si>
    <t>Patient Welfare Officer</t>
  </si>
  <si>
    <t>Researcher</t>
  </si>
  <si>
    <t>Clinical Director</t>
  </si>
  <si>
    <t>Community Team Manager</t>
  </si>
  <si>
    <t>Psychotherapist</t>
  </si>
  <si>
    <t>Regional Dental Officer</t>
  </si>
  <si>
    <t>Physiotherapist Consultant</t>
  </si>
  <si>
    <t>Student Nurse - Adult Branch</t>
  </si>
  <si>
    <t>Clinical Psychologist</t>
  </si>
  <si>
    <t>Hospital-based doctors, Consultant medical, Cost per working hour (including qualifications) (143), assumed 30 minutes</t>
  </si>
  <si>
    <t>Art Therapist Specialist Practitioner</t>
  </si>
  <si>
    <t>Specialist Registrar</t>
  </si>
  <si>
    <t>House Officer - Pre Registration</t>
  </si>
  <si>
    <t>Paramedic Consultant</t>
  </si>
  <si>
    <t>Social Worker</t>
  </si>
  <si>
    <t>Social care staff, Social worker (adult services), Cost per hour without qualification</t>
  </si>
  <si>
    <t>Art Therapist Consultant</t>
  </si>
  <si>
    <t>Chiropodist/Podiatrist Specialist Practitioner</t>
  </si>
  <si>
    <t>Occupational Therapist</t>
  </si>
  <si>
    <t>Healthcare Scientist</t>
  </si>
  <si>
    <t>Midwife</t>
  </si>
  <si>
    <t>Ward Clerk</t>
  </si>
  <si>
    <t>Optometrist</t>
  </si>
  <si>
    <t>Audiologist</t>
  </si>
  <si>
    <t>Other Community Health Service - Social Care Worker</t>
  </si>
  <si>
    <t>Director of Nursing</t>
  </si>
  <si>
    <t>Audit Manager</t>
  </si>
  <si>
    <t>Radiographer - Diagnostic, Manager</t>
  </si>
  <si>
    <t>Multi Therapist</t>
  </si>
  <si>
    <t>Trust Grade Doctor - SHO level</t>
  </si>
  <si>
    <t>Radiographer - Diagnostic, Specialist Practitioner</t>
  </si>
  <si>
    <t>Student Community Practitioner</t>
  </si>
  <si>
    <t>Chiropodist/Podiatrist Consultant</t>
  </si>
  <si>
    <t>Ward Manager</t>
  </si>
  <si>
    <t>Gateway Worker</t>
  </si>
  <si>
    <t>Based on 5 minutes of Band 7 qualified nurse over reported cost per working hour</t>
  </si>
  <si>
    <t>Healthcare Cadet</t>
  </si>
  <si>
    <t>Technician - Healthcare Scientists</t>
  </si>
  <si>
    <t>Clinical Medical Officer</t>
  </si>
  <si>
    <t>Dietitian Specialist Practitioner</t>
  </si>
  <si>
    <t>Nursery Nurse</t>
  </si>
  <si>
    <t>Dietitian Consultant</t>
  </si>
  <si>
    <t>Orthoptist Manager</t>
  </si>
  <si>
    <t>Chiropodist/Podiatrist Manager</t>
  </si>
  <si>
    <t>Radiographer - Diagnostic</t>
  </si>
  <si>
    <t>Social Care Support Worker</t>
  </si>
  <si>
    <t>Biomedical Scientist</t>
  </si>
  <si>
    <t>Student Physiotherapist</t>
  </si>
  <si>
    <t>Technician - Additional Clinical Services</t>
  </si>
  <si>
    <t>Waiting List Clerk</t>
  </si>
  <si>
    <t>Asst. Clinical Medical Officer</t>
  </si>
  <si>
    <t>Pre-reg Pharmacist</t>
  </si>
  <si>
    <t>Social work assistant (mental health)</t>
  </si>
  <si>
    <t>Dietitian Manager</t>
  </si>
  <si>
    <t>Healthcare Science Assistant</t>
  </si>
  <si>
    <t>Midwife - Sister/Charge Nurse</t>
  </si>
  <si>
    <t>Student District Nurse</t>
  </si>
  <si>
    <t>Medical Director</t>
  </si>
  <si>
    <t>Multi Therapist Specialist Practitioner</t>
  </si>
  <si>
    <t>Student Technician</t>
  </si>
  <si>
    <t>specialty_concept_id</t>
  </si>
  <si>
    <t>concept_name</t>
  </si>
  <si>
    <t>n</t>
  </si>
  <si>
    <t>General Practice</t>
  </si>
  <si>
    <t>Community Health Nurse Practitioner</t>
  </si>
  <si>
    <t>Other Technician</t>
  </si>
  <si>
    <t>Registered Record Administrator</t>
  </si>
  <si>
    <t>Case Manager / Care Coordinator</t>
  </si>
  <si>
    <t>Medical Physician Assistant</t>
  </si>
  <si>
    <t>No matching concept</t>
  </si>
  <si>
    <t>Uncategorised</t>
  </si>
  <si>
    <t>Registered Community Health Nurse</t>
  </si>
  <si>
    <t>Community Health Worker</t>
  </si>
  <si>
    <t>Clinical Nurse Specialist</t>
  </si>
  <si>
    <t>Registered Nurse</t>
  </si>
  <si>
    <t>Health Information Technician</t>
  </si>
  <si>
    <t>Registered General Practice Nurse</t>
  </si>
  <si>
    <t>Pharmacy Technician</t>
  </si>
  <si>
    <t>Nurse Practitioner</t>
  </si>
  <si>
    <t>Physician Office Based Coding Specialist</t>
  </si>
  <si>
    <t>Specialist</t>
  </si>
  <si>
    <t>Surgical Physician Assistant</t>
  </si>
  <si>
    <t>Physical Hand Therapist</t>
  </si>
  <si>
    <t>Podiatrist</t>
  </si>
  <si>
    <t>Student</t>
  </si>
  <si>
    <t>Professional Behavioral Health Counselor</t>
  </si>
  <si>
    <t>Registered Dietitian</t>
  </si>
  <si>
    <t>Community Psych / Mental Health Nurse</t>
  </si>
  <si>
    <t>Marriage and Family Therapist</t>
  </si>
  <si>
    <t>Radiography Technologist</t>
  </si>
  <si>
    <t>Behavioral Health &amp; Social Service Providers, Psychologist, Clinical</t>
  </si>
  <si>
    <t>Registered School Nurse</t>
  </si>
  <si>
    <t>Mental Health Counselor</t>
  </si>
  <si>
    <t>Mental Retardation and Developmental Disability Psychologist</t>
  </si>
  <si>
    <t>source</t>
  </si>
  <si>
    <t>unit_cost_source</t>
  </si>
  <si>
    <t>concept_id</t>
  </si>
  <si>
    <t>unit_cost_omop</t>
  </si>
  <si>
    <t>same as source</t>
  </si>
  <si>
    <t>Mean of corresponding source specialties</t>
  </si>
  <si>
    <t>Support, Time, Recovery Worker</t>
  </si>
  <si>
    <t>I derived a list of specialties for each datasets for the visits in the study period</t>
  </si>
  <si>
    <t>Code used for extraction (Source-cprd)</t>
  </si>
  <si>
    <t>Code used for extraction (OMOP)</t>
  </si>
  <si>
    <t>validation_staff &lt;- my_dm$`validation_staff` %&gt;% collect()</t>
  </si>
  <si>
    <t xml:space="preserve">visit_data_study_period &lt;- cdm$visit_detail %&gt;% </t>
  </si>
  <si>
    <t xml:space="preserve">validation_consultation &lt;- my_dm$`validation_consultation` %&gt;% collect() %&gt;% </t>
  </si>
  <si>
    <t xml:space="preserve">  # Filter for only primary care visits</t>
  </si>
  <si>
    <t xml:space="preserve">  # Filter such that we have the visits between the study start and study end dates</t>
  </si>
  <si>
    <t xml:space="preserve">  dplyr::filter(visit_detail_concept_id == 581477) %&gt;% </t>
  </si>
  <si>
    <t xml:space="preserve">  filter(consdate &gt;= study_start_date &amp; consdate &lt;= study_end_date)</t>
  </si>
  <si>
    <t xml:space="preserve">  dplyr::inner_join(cdm$provider) %&gt;% </t>
  </si>
  <si>
    <t xml:space="preserve">  dplyr::filter(visit_detail_start_date &gt;= study_start_date &amp; # include only visits in the study period</t>
  </si>
  <si>
    <t xml:space="preserve">                visit_detail_start_date &lt;= study_end_date) %&gt;% compute()</t>
  </si>
  <si>
    <t>visit_data_study_period &lt;- inner_join (validation_consultation, validation_staff ,</t>
  </si>
  <si>
    <t xml:space="preserve">                                       by = "staffid")</t>
  </si>
  <si>
    <t>specialty_freq &lt;- visit_data_study_period %&gt;%</t>
  </si>
  <si>
    <t xml:space="preserve">  group_by(specialty_concept_id) %&gt;%</t>
  </si>
  <si>
    <t xml:space="preserve">  count(description) %&gt;%</t>
  </si>
  <si>
    <t xml:space="preserve">  summarise(n = n()) %&gt;%</t>
  </si>
  <si>
    <t xml:space="preserve">  mutate(</t>
  </si>
  <si>
    <t xml:space="preserve">  mutate(percent = round(100 * n / sum(n), 1)) %&gt;%</t>
  </si>
  <si>
    <t xml:space="preserve">    percent = round(100 * n / sum(n), 1)</t>
  </si>
  <si>
    <t xml:space="preserve">  left_join(cdm$concept, by = c("specialty_concept_id" = "concept_id")) %&gt;%</t>
  </si>
  <si>
    <t xml:space="preserve">  ) %&gt;%</t>
  </si>
  <si>
    <t xml:space="preserve">  select(specialty_concept_id, concept_name, n, percent) %&gt;%</t>
  </si>
  <si>
    <t xml:space="preserve">  arrange(desc(n))</t>
  </si>
  <si>
    <t xml:space="preserve">  arrange(desc(n)) %&gt;%</t>
  </si>
  <si>
    <t xml:space="preserve">  collect()</t>
  </si>
  <si>
    <t>library(rio)</t>
  </si>
  <si>
    <t>export(specialty_freq, "specialty_frequency_whole_cprd_source_study_period.xlsx")</t>
  </si>
  <si>
    <t>Assumptions</t>
  </si>
  <si>
    <r>
      <t xml:space="preserve">Costing was performed using the specialty categories from the source CPRD data, with unit values listed in the </t>
    </r>
    <r>
      <rPr>
        <sz val="10"/>
        <color theme="1"/>
        <rFont val="Arial Unicode MS"/>
      </rPr>
      <t>source_cprd</t>
    </r>
    <r>
      <rPr>
        <sz val="11"/>
        <color theme="1"/>
        <rFont val="Calibri"/>
        <family val="2"/>
        <scheme val="minor"/>
      </rPr>
      <t xml:space="preserve"> sheet.</t>
    </r>
  </si>
  <si>
    <r>
      <t xml:space="preserve">OMOP </t>
    </r>
    <r>
      <rPr>
        <sz val="10"/>
        <color theme="1"/>
        <rFont val="Arial Unicode MS"/>
      </rPr>
      <t>specialty_concept_ids</t>
    </r>
    <r>
      <rPr>
        <sz val="11"/>
        <color theme="1"/>
        <rFont val="Calibri"/>
        <family val="2"/>
        <scheme val="minor"/>
      </rPr>
      <t xml:space="preserve"> were assigned costs based on their corresponding CPRD specialties.</t>
    </r>
  </si>
  <si>
    <t>When multiple CPRD specialties mapped to the same concept ID, an average cost was used.</t>
  </si>
  <si>
    <t>For source specialties that could not be mapped to a concept ID (i.e., unmatched), an average of all CPRD specialty costs was applied.</t>
  </si>
  <si>
    <t>In the master sheet there are values for source and omop side to side</t>
  </si>
  <si>
    <t>Average of "Cost per surgery consultation lasting 10 minutes - GP (including direct care staffcosts, without qualification) £37" and "Hospital-based doctors, Consultant medical, Cost per working hour (including qualifications) (143), assumed 30 minutes £51.5"</t>
  </si>
  <si>
    <t>Pharmacy technician (community-based scientific and professional staff band 4) per working hour = £39, assuming 10 mins per encounter</t>
  </si>
  <si>
    <t>Hospital based nurses, Staff nurse, midwife (entry level), theatre nurse, Band 5, without qualifications Cost per hour</t>
  </si>
  <si>
    <t>Nurse associate practitioner (community), Nurse associate practitioner (Mental Health), Nursery nurse (Community), Band 4 without qualifications. duration of contact 15.5 minutes per surgery consultation based on the 2006/07 UK general practice survey</t>
  </si>
  <si>
    <t>Nurse (Community), Nurse (Schools), Nurse (Learning disabilities), Band 5 without qualifications, Cost per hour face-to-face time, duration of contact 15.5 minutes per surgery consultation based on the 2006/07 UK general practice survey (PSSRU 2015).</t>
  </si>
  <si>
    <t>Nurse team leader (learning disabilities), Nurse Specialist (Community), Nurse Specialist (Schools), Nurse Specialist (Special schools), Band 6 without qualifications, Cost per hour face-to-face time, duration of contact 15.5 minutes per surgery consultation based on the 2006/07 UK general practice survey (PSSRU 2015).</t>
  </si>
  <si>
    <t>Hospital based nurses, Staff nurse, midwife (entry level), theatre nurse, Band 5 without qualifications, Cost per hour</t>
  </si>
  <si>
    <t>Hospital based nurses, Staff nurse, midwife (entry level), theatre nurse, Band 5 without qualifications Cost per hour: £:42</t>
  </si>
  <si>
    <t>Nurse team leader (learning disabilities), Nurse Specialist (Community), Nurse Specialist (Schools), Nurse Specialist (Special schools), Band 6 without qualifications, Cost per hour face-to-face time, duration of contact 15.5 minutes per surgery consultation based on the 2006/07 UK general practice survey (PSSRU 2015): 26.75</t>
  </si>
  <si>
    <t>Hospital -based nurses, Band 6, cost per hour (£56), assumed 15 min consultation and 2.5 ratio paid hours.</t>
  </si>
  <si>
    <t>Cost per working hour (£47), Band 5 qualified nurses without qualifications, assuming 30 min encounter: £23.5</t>
  </si>
  <si>
    <t>Cost per working hours, Qualified nurse Band 6 (£58) without qualifications, assuming 30 min encounter:£29</t>
  </si>
  <si>
    <t>Hospital -based nurses, Band 6, cost per hour (£56), assumed 15 min consultation and 2.5 ratio paid hours:35</t>
  </si>
  <si>
    <t>Based on Band 4 qualified nurse without qualifications, cost per hour</t>
  </si>
  <si>
    <t>Based on Band 7 community-based scientific and professional staff, Arts therapist, cost per working hour</t>
  </si>
  <si>
    <t>Based on Band 5 community-based scientific and professional staff, cost per working hour</t>
  </si>
  <si>
    <t>Based on Band 8c-d community-based scientific and professional staff, Arts Therapist principal, average of £106 and £125</t>
  </si>
  <si>
    <t>Based on Band 8c-d community-based scientific and professional staff, Arts Therapist consultant, average of £106 and £125</t>
  </si>
  <si>
    <t>Based on Band 5 community-based scientific and professional staff, occupational therapist, cost per working hour</t>
  </si>
  <si>
    <t>Based on Band 4 community-based scientific and professional staff, cost per hour</t>
  </si>
  <si>
    <t xml:space="preserve">Based on average of Band 8c-8d community scientific and professional staff, cost per working hour </t>
  </si>
  <si>
    <t>Based on Band 5 hospital-based scientific and professional staff, cost per working hour</t>
  </si>
  <si>
    <t>Based on Band 7 community-based scientific and professional staff, cost per hour</t>
  </si>
  <si>
    <t>Based on Band 8a community-based scientific and professional staff, cost per hour</t>
  </si>
  <si>
    <t>Based on Band 6 community-based scientific and professional staff, cost per hour</t>
  </si>
  <si>
    <t>Based on estimated 5-minute encounter applied to mean basic salary per full-time equivalent of "healthcare assistants and other support staff" role at 251.9 working days per year</t>
  </si>
  <si>
    <t>Based on estimated 5-minute encounter applied to mean basic salary per full-time equivalent of "support toregistered ambulance staff" role at 251.9 working days per year</t>
  </si>
  <si>
    <t>Based on Band 8a-b community-based scientific and professional staff, physiotherapist consultant, average of £77 and £89</t>
  </si>
  <si>
    <t>Based on social worker (adult services), cost per hour without qualifications</t>
  </si>
  <si>
    <t xml:space="preserve">Based on Band 9 qualified nurse, cost per working hour </t>
  </si>
  <si>
    <t>Based on Band 6 community-based scientific and professional staff, cost per working hour</t>
  </si>
  <si>
    <t>Based on Band 8c-d community-based scientific and professional staff, podiatric consultant, average of £106 and £125</t>
  </si>
  <si>
    <t>Based on Band 9 community-based scientific and professional staff, physiotherapist consultant, average of £77 and £89</t>
  </si>
  <si>
    <t>Based on Band 7 qualified nurse without qualifications, cost per hour</t>
  </si>
  <si>
    <t>Source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</si>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</sst>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[$£-809]* #,##0.00_-;\-[$£-809]* #,##0.00_-;_-[$£-809]* &quot;-&quot;??_-;_-@_-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44" fontId="1" fillId="0" borderId="0" xfId="1" applyFont="1" applyAlignment="1">
      <alignment horizontal="center"/>
    </xf>
    <xf numFmtId="44" fontId="0" fillId="0" borderId="0" xfId="1" applyFont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0" borderId="0" xfId="0" applyFont="1"/>
    <xf numFmtId="0" fontId="4" fillId="0" borderId="0" xfId="0" applyFont="1"/>
    <xf numFmtId="44" fontId="1" fillId="4" borderId="0" xfId="1" applyFont="1" applyFill="1" applyAlignment="1">
      <alignment horizontal="center"/>
    </xf>
    <xf numFmtId="44" fontId="0" fillId="4" borderId="0" xfId="1" applyFont="1" applyFill="1"/>
    <xf numFmtId="164" fontId="1" fillId="4" borderId="0" xfId="0" applyNumberFormat="1" applyFont="1" applyFill="1" applyAlignment="1">
      <alignment horizontal="center"/>
    </xf>
    <xf numFmtId="164" fontId="0" fillId="4" borderId="0" xfId="0" applyNumberFormat="1" applyFill="1"/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"/>
  <sheetViews>
    <sheetView zoomScale="110" zoomScaleNormal="110" workbookViewId="0">
      <pane ySplit="1" topLeftCell="A156" activePane="bottomLeft" state="frozen"/>
      <selection pane="bottomLeft" activeCell="E157" sqref="E157"/>
    </sheetView>
  </sheetViews>
  <sheetFormatPr defaultRowHeight="15"/>
  <cols>
    <col min="1" max="1" width="28.140625" customWidth="1"/>
    <col min="4" max="4" width="17.85546875" customWidth="1"/>
    <col min="5" max="5" width="12" style="11" bestFit="1" customWidth="1"/>
    <col min="6" max="6" width="142.42578125" customWidth="1"/>
    <col min="7" max="7" width="30.42578125" customWidth="1"/>
    <col min="8" max="8" width="50.85546875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" t="s">
        <v>5</v>
      </c>
      <c r="G1" s="1" t="s">
        <v>6</v>
      </c>
      <c r="H1" s="1" t="s">
        <v>297</v>
      </c>
    </row>
    <row r="2" spans="1:8">
      <c r="A2" t="s">
        <v>74</v>
      </c>
      <c r="B2">
        <v>2017</v>
      </c>
      <c r="C2">
        <v>0</v>
      </c>
      <c r="D2">
        <v>1</v>
      </c>
      <c r="E2" s="11">
        <v>14.98</v>
      </c>
      <c r="F2" t="s">
        <v>271</v>
      </c>
      <c r="G2" t="s">
        <v>19</v>
      </c>
      <c r="H2" t="s">
        <v>13</v>
      </c>
    </row>
    <row r="3" spans="1:8">
      <c r="A3" s="5" t="s">
        <v>101</v>
      </c>
      <c r="B3" s="5">
        <v>556</v>
      </c>
      <c r="C3" s="5">
        <v>0</v>
      </c>
      <c r="D3" s="5">
        <v>0</v>
      </c>
      <c r="E3" s="11">
        <v>44</v>
      </c>
      <c r="F3" s="5" t="s">
        <v>278</v>
      </c>
      <c r="G3" s="5" t="s">
        <v>19</v>
      </c>
      <c r="H3" s="5" t="e">
        <v>#N/A</v>
      </c>
    </row>
    <row r="4" spans="1:8">
      <c r="A4" t="s">
        <v>54</v>
      </c>
      <c r="B4">
        <v>10366</v>
      </c>
      <c r="C4">
        <v>0.2</v>
      </c>
      <c r="D4">
        <v>0</v>
      </c>
      <c r="E4" s="11">
        <v>1.27</v>
      </c>
      <c r="F4" t="s">
        <v>11</v>
      </c>
      <c r="G4" t="s">
        <v>12</v>
      </c>
      <c r="H4" t="s">
        <v>13</v>
      </c>
    </row>
    <row r="5" spans="1:8">
      <c r="A5" t="s">
        <v>100</v>
      </c>
      <c r="B5">
        <v>658</v>
      </c>
      <c r="C5">
        <v>0</v>
      </c>
      <c r="D5">
        <v>1</v>
      </c>
      <c r="E5" s="11">
        <v>68</v>
      </c>
      <c r="F5" t="s">
        <v>277</v>
      </c>
      <c r="G5" t="s">
        <v>19</v>
      </c>
      <c r="H5" t="s">
        <v>13</v>
      </c>
    </row>
    <row r="6" spans="1:8">
      <c r="A6" t="s">
        <v>142</v>
      </c>
      <c r="B6">
        <v>30</v>
      </c>
      <c r="C6">
        <v>0</v>
      </c>
      <c r="D6">
        <v>1</v>
      </c>
      <c r="E6" s="11">
        <v>115.5</v>
      </c>
      <c r="F6" t="s">
        <v>280</v>
      </c>
      <c r="G6" t="s">
        <v>19</v>
      </c>
      <c r="H6" t="s">
        <v>13</v>
      </c>
    </row>
    <row r="7" spans="1:8">
      <c r="A7" t="s">
        <v>104</v>
      </c>
      <c r="B7">
        <v>474</v>
      </c>
      <c r="C7">
        <v>0</v>
      </c>
      <c r="D7">
        <v>0</v>
      </c>
      <c r="E7" s="11">
        <v>115.5</v>
      </c>
      <c r="F7" t="s">
        <v>279</v>
      </c>
      <c r="G7" t="s">
        <v>19</v>
      </c>
      <c r="H7" t="s">
        <v>13</v>
      </c>
    </row>
    <row r="8" spans="1:8">
      <c r="A8" t="s">
        <v>136</v>
      </c>
      <c r="B8">
        <v>55</v>
      </c>
      <c r="C8">
        <v>0</v>
      </c>
      <c r="D8">
        <v>1</v>
      </c>
      <c r="E8" s="11">
        <v>115.5</v>
      </c>
      <c r="F8" t="s">
        <v>279</v>
      </c>
      <c r="G8" t="s">
        <v>19</v>
      </c>
      <c r="H8" t="s">
        <v>13</v>
      </c>
    </row>
    <row r="9" spans="1:8">
      <c r="A9" t="s">
        <v>92</v>
      </c>
      <c r="B9">
        <v>915</v>
      </c>
      <c r="C9">
        <v>0</v>
      </c>
      <c r="D9">
        <v>1</v>
      </c>
      <c r="E9" s="11">
        <v>39</v>
      </c>
      <c r="F9" t="s">
        <v>282</v>
      </c>
      <c r="G9" t="s">
        <v>19</v>
      </c>
      <c r="H9" t="s">
        <v>13</v>
      </c>
    </row>
    <row r="10" spans="1:8">
      <c r="A10" t="s">
        <v>64</v>
      </c>
      <c r="B10">
        <v>3591</v>
      </c>
      <c r="C10">
        <v>0.1</v>
      </c>
      <c r="D10">
        <v>1</v>
      </c>
      <c r="E10" s="11">
        <v>1.1084645582462176</v>
      </c>
      <c r="F10" t="s">
        <v>65</v>
      </c>
      <c r="G10" t="s">
        <v>19</v>
      </c>
      <c r="H10" t="s">
        <v>13</v>
      </c>
    </row>
    <row r="11" spans="1:8">
      <c r="A11" s="5" t="s">
        <v>79</v>
      </c>
      <c r="B11" s="5">
        <v>1358</v>
      </c>
      <c r="C11" s="5">
        <v>0</v>
      </c>
      <c r="D11" s="5">
        <v>1</v>
      </c>
      <c r="E11" s="11">
        <v>1.1084645582462176</v>
      </c>
      <c r="F11" s="5" t="s">
        <v>65</v>
      </c>
      <c r="G11" s="5" t="s">
        <v>19</v>
      </c>
      <c r="H11" s="5" t="e">
        <v>#N/A</v>
      </c>
    </row>
    <row r="12" spans="1:8">
      <c r="A12" t="s">
        <v>47</v>
      </c>
      <c r="B12">
        <v>19882</v>
      </c>
      <c r="C12">
        <v>0.3</v>
      </c>
      <c r="D12">
        <v>1</v>
      </c>
      <c r="E12" s="11">
        <v>37</v>
      </c>
      <c r="F12" t="s">
        <v>8</v>
      </c>
      <c r="G12" t="s">
        <v>9</v>
      </c>
      <c r="H12" t="s">
        <v>13</v>
      </c>
    </row>
    <row r="13" spans="1:8">
      <c r="A13" t="s">
        <v>49</v>
      </c>
      <c r="B13">
        <v>17418</v>
      </c>
      <c r="C13">
        <v>0.3</v>
      </c>
      <c r="D13">
        <v>1</v>
      </c>
      <c r="E13" s="11">
        <v>12.12</v>
      </c>
      <c r="F13" t="s">
        <v>267</v>
      </c>
      <c r="G13" t="s">
        <v>17</v>
      </c>
      <c r="H13" t="s">
        <v>13</v>
      </c>
    </row>
    <row r="14" spans="1:8">
      <c r="A14" t="s">
        <v>89</v>
      </c>
      <c r="B14">
        <v>998</v>
      </c>
      <c r="C14">
        <v>0</v>
      </c>
      <c r="D14">
        <v>1</v>
      </c>
      <c r="E14" s="11">
        <v>35</v>
      </c>
      <c r="F14" t="s">
        <v>275</v>
      </c>
      <c r="G14" t="s">
        <v>19</v>
      </c>
      <c r="H14" t="s">
        <v>13</v>
      </c>
    </row>
    <row r="15" spans="1:8">
      <c r="A15" t="s">
        <v>176</v>
      </c>
      <c r="B15">
        <v>3</v>
      </c>
      <c r="C15">
        <v>0</v>
      </c>
      <c r="D15">
        <v>0</v>
      </c>
      <c r="E15" s="11">
        <v>1.2727272727272729</v>
      </c>
      <c r="F15" t="s">
        <v>11</v>
      </c>
      <c r="G15" t="s">
        <v>12</v>
      </c>
      <c r="H15" t="s">
        <v>13</v>
      </c>
    </row>
    <row r="16" spans="1:8">
      <c r="A16" t="s">
        <v>149</v>
      </c>
      <c r="B16">
        <v>22</v>
      </c>
      <c r="C16">
        <v>0</v>
      </c>
      <c r="D16">
        <v>1</v>
      </c>
      <c r="E16" s="11">
        <v>44</v>
      </c>
      <c r="F16" t="s">
        <v>281</v>
      </c>
      <c r="G16" t="s">
        <v>19</v>
      </c>
      <c r="H16" t="s">
        <v>13</v>
      </c>
    </row>
    <row r="17" spans="1:8">
      <c r="A17" t="s">
        <v>152</v>
      </c>
      <c r="B17">
        <v>20</v>
      </c>
      <c r="C17">
        <v>0</v>
      </c>
      <c r="D17">
        <v>0</v>
      </c>
      <c r="E17" s="11">
        <v>1.2727272727272729</v>
      </c>
      <c r="F17" t="s">
        <v>11</v>
      </c>
      <c r="G17" t="s">
        <v>12</v>
      </c>
      <c r="H17" t="s">
        <v>13</v>
      </c>
    </row>
    <row r="18" spans="1:8">
      <c r="A18" t="s">
        <v>105</v>
      </c>
      <c r="B18">
        <v>423</v>
      </c>
      <c r="C18">
        <v>0</v>
      </c>
      <c r="D18">
        <v>0</v>
      </c>
      <c r="E18" s="11">
        <v>1.2727272727272729</v>
      </c>
      <c r="F18" t="s">
        <v>11</v>
      </c>
      <c r="G18" t="s">
        <v>12</v>
      </c>
      <c r="H18" t="s">
        <v>13</v>
      </c>
    </row>
    <row r="19" spans="1:8">
      <c r="A19" t="s">
        <v>172</v>
      </c>
      <c r="B19">
        <v>4</v>
      </c>
      <c r="C19">
        <v>0</v>
      </c>
      <c r="D19">
        <v>0</v>
      </c>
      <c r="E19" s="11">
        <v>44</v>
      </c>
      <c r="F19" t="s">
        <v>278</v>
      </c>
      <c r="G19" t="s">
        <v>19</v>
      </c>
      <c r="H19" t="s">
        <v>13</v>
      </c>
    </row>
    <row r="20" spans="1:8">
      <c r="A20" s="5" t="s">
        <v>77</v>
      </c>
      <c r="B20" s="5">
        <v>1586</v>
      </c>
      <c r="C20" s="5">
        <v>0</v>
      </c>
      <c r="D20" s="5">
        <v>0</v>
      </c>
      <c r="E20" s="11">
        <v>1.2727272727272729</v>
      </c>
      <c r="F20" s="5" t="s">
        <v>11</v>
      </c>
      <c r="G20" s="5" t="s">
        <v>12</v>
      </c>
      <c r="H20" s="5" t="e">
        <v>#N/A</v>
      </c>
    </row>
    <row r="21" spans="1:8">
      <c r="A21" t="s">
        <v>124</v>
      </c>
      <c r="B21">
        <v>119</v>
      </c>
      <c r="C21">
        <v>0</v>
      </c>
      <c r="D21">
        <v>0</v>
      </c>
      <c r="E21" s="11">
        <v>1.08</v>
      </c>
      <c r="F21" t="s">
        <v>289</v>
      </c>
      <c r="G21" t="s">
        <v>19</v>
      </c>
      <c r="H21" t="s">
        <v>13</v>
      </c>
    </row>
    <row r="22" spans="1:8">
      <c r="A22" s="5" t="s">
        <v>106</v>
      </c>
      <c r="B22" s="5">
        <v>332</v>
      </c>
      <c r="C22" s="5">
        <v>0</v>
      </c>
      <c r="D22" s="5">
        <v>0</v>
      </c>
      <c r="E22" s="11">
        <v>48</v>
      </c>
      <c r="F22" s="5" t="s">
        <v>141</v>
      </c>
      <c r="G22" s="5" t="s">
        <v>19</v>
      </c>
      <c r="H22" s="5" t="e">
        <v>#N/A</v>
      </c>
    </row>
    <row r="23" spans="1:8">
      <c r="A23" t="s">
        <v>88</v>
      </c>
      <c r="B23">
        <v>1039</v>
      </c>
      <c r="C23">
        <v>0</v>
      </c>
      <c r="D23">
        <v>1</v>
      </c>
      <c r="E23" s="11">
        <v>44</v>
      </c>
      <c r="F23" t="s">
        <v>69</v>
      </c>
      <c r="G23" t="s">
        <v>19</v>
      </c>
      <c r="H23" t="s">
        <v>13</v>
      </c>
    </row>
    <row r="24" spans="1:8">
      <c r="A24" t="s">
        <v>158</v>
      </c>
      <c r="B24">
        <v>11</v>
      </c>
      <c r="C24">
        <v>0</v>
      </c>
      <c r="D24">
        <v>1</v>
      </c>
      <c r="E24" s="11">
        <v>115.5</v>
      </c>
      <c r="F24" t="s">
        <v>294</v>
      </c>
      <c r="G24" t="s">
        <v>19</v>
      </c>
      <c r="H24" t="s">
        <v>13</v>
      </c>
    </row>
    <row r="25" spans="1:8">
      <c r="A25" t="s">
        <v>169</v>
      </c>
      <c r="B25">
        <v>6</v>
      </c>
      <c r="C25">
        <v>0</v>
      </c>
      <c r="D25">
        <v>0</v>
      </c>
      <c r="E25" s="11">
        <v>83</v>
      </c>
      <c r="F25" t="s">
        <v>290</v>
      </c>
      <c r="G25" t="s">
        <v>19</v>
      </c>
      <c r="H25" t="s">
        <v>13</v>
      </c>
    </row>
    <row r="26" spans="1:8">
      <c r="A26" t="s">
        <v>143</v>
      </c>
      <c r="B26">
        <v>30</v>
      </c>
      <c r="C26">
        <v>0</v>
      </c>
      <c r="D26">
        <v>1</v>
      </c>
      <c r="E26" s="11">
        <v>57</v>
      </c>
      <c r="F26" t="s">
        <v>287</v>
      </c>
      <c r="G26" t="s">
        <v>19</v>
      </c>
      <c r="H26" t="s">
        <v>13</v>
      </c>
    </row>
    <row r="27" spans="1:8">
      <c r="A27" t="s">
        <v>20</v>
      </c>
      <c r="B27">
        <v>336694</v>
      </c>
      <c r="C27">
        <v>5.0999999999999996</v>
      </c>
      <c r="D27">
        <v>0</v>
      </c>
      <c r="E27" s="11">
        <v>1.2727272727272729</v>
      </c>
      <c r="F27" t="s">
        <v>11</v>
      </c>
      <c r="G27" t="s">
        <v>12</v>
      </c>
      <c r="H27" s="9" t="s">
        <v>13</v>
      </c>
    </row>
    <row r="28" spans="1:8">
      <c r="A28" t="s">
        <v>67</v>
      </c>
      <c r="B28">
        <v>3230</v>
      </c>
      <c r="C28">
        <v>0</v>
      </c>
      <c r="D28">
        <v>0</v>
      </c>
      <c r="E28" s="11">
        <v>1.27</v>
      </c>
      <c r="F28" t="s">
        <v>11</v>
      </c>
      <c r="G28" t="s">
        <v>12</v>
      </c>
      <c r="H28" t="s">
        <v>13</v>
      </c>
    </row>
    <row r="29" spans="1:8">
      <c r="A29" t="s">
        <v>63</v>
      </c>
      <c r="B29">
        <v>3999</v>
      </c>
      <c r="C29">
        <v>0.1</v>
      </c>
      <c r="D29">
        <v>1</v>
      </c>
      <c r="E29" s="11">
        <v>0.95147986414361962</v>
      </c>
      <c r="F29" t="s">
        <v>23</v>
      </c>
      <c r="G29" t="s">
        <v>19</v>
      </c>
      <c r="H29" t="s">
        <v>13</v>
      </c>
    </row>
    <row r="30" spans="1:8">
      <c r="A30" t="s">
        <v>45</v>
      </c>
      <c r="B30">
        <v>22507</v>
      </c>
      <c r="C30">
        <v>0.3</v>
      </c>
      <c r="D30">
        <v>0</v>
      </c>
      <c r="E30" s="11">
        <v>1.9946627850557981</v>
      </c>
      <c r="F30" t="s">
        <v>46</v>
      </c>
      <c r="G30" t="s">
        <v>12</v>
      </c>
      <c r="H30" t="s">
        <v>13</v>
      </c>
    </row>
    <row r="31" spans="1:8">
      <c r="A31" t="s">
        <v>128</v>
      </c>
      <c r="B31">
        <v>93</v>
      </c>
      <c r="C31">
        <v>0</v>
      </c>
      <c r="D31">
        <v>0</v>
      </c>
      <c r="E31" s="11">
        <v>68</v>
      </c>
      <c r="F31" t="s">
        <v>285</v>
      </c>
      <c r="G31" t="s">
        <v>19</v>
      </c>
      <c r="H31" t="s">
        <v>13</v>
      </c>
    </row>
    <row r="32" spans="1:8">
      <c r="A32" s="5" t="s">
        <v>103</v>
      </c>
      <c r="B32" s="5">
        <v>507</v>
      </c>
      <c r="C32" s="5">
        <v>0</v>
      </c>
      <c r="D32" s="5">
        <v>1</v>
      </c>
      <c r="E32" s="11">
        <v>115.5</v>
      </c>
      <c r="F32" s="5" t="s">
        <v>279</v>
      </c>
      <c r="G32" s="5" t="s">
        <v>19</v>
      </c>
      <c r="H32" s="5" t="e">
        <v>#N/A</v>
      </c>
    </row>
    <row r="33" spans="1:8">
      <c r="A33" s="5" t="s">
        <v>164</v>
      </c>
      <c r="B33" s="5">
        <v>8</v>
      </c>
      <c r="C33" s="5">
        <v>0</v>
      </c>
      <c r="D33" s="5">
        <v>1</v>
      </c>
      <c r="E33" s="11">
        <v>115.5</v>
      </c>
      <c r="F33" s="5" t="s">
        <v>279</v>
      </c>
      <c r="G33" s="5" t="s">
        <v>19</v>
      </c>
      <c r="H33" s="5" t="e">
        <v>#N/A</v>
      </c>
    </row>
    <row r="34" spans="1:8">
      <c r="A34" t="s">
        <v>134</v>
      </c>
      <c r="B34">
        <v>67</v>
      </c>
      <c r="C34">
        <v>0</v>
      </c>
      <c r="D34">
        <v>1</v>
      </c>
      <c r="E34" s="11">
        <v>51.5</v>
      </c>
      <c r="F34" t="s">
        <v>135</v>
      </c>
      <c r="G34" t="s">
        <v>19</v>
      </c>
      <c r="H34" t="s">
        <v>13</v>
      </c>
    </row>
    <row r="35" spans="1:8">
      <c r="A35" t="s">
        <v>123</v>
      </c>
      <c r="B35">
        <v>129</v>
      </c>
      <c r="C35">
        <v>0</v>
      </c>
      <c r="D35">
        <v>0</v>
      </c>
      <c r="E35" s="11">
        <v>57</v>
      </c>
      <c r="F35" t="s">
        <v>287</v>
      </c>
      <c r="G35" t="s">
        <v>19</v>
      </c>
      <c r="H35" t="s">
        <v>13</v>
      </c>
    </row>
    <row r="36" spans="1:8">
      <c r="A36" t="s">
        <v>25</v>
      </c>
      <c r="B36">
        <v>163036</v>
      </c>
      <c r="C36">
        <v>2.5</v>
      </c>
      <c r="D36">
        <v>0</v>
      </c>
      <c r="E36" s="11">
        <v>1.2727272727272729</v>
      </c>
      <c r="F36" t="s">
        <v>11</v>
      </c>
      <c r="G36" t="s">
        <v>12</v>
      </c>
      <c r="H36" t="s">
        <v>13</v>
      </c>
    </row>
    <row r="37" spans="1:8">
      <c r="A37" t="s">
        <v>99</v>
      </c>
      <c r="B37">
        <v>663</v>
      </c>
      <c r="C37">
        <v>0</v>
      </c>
      <c r="D37">
        <v>1</v>
      </c>
      <c r="E37" s="11">
        <v>14.98</v>
      </c>
      <c r="F37" t="s">
        <v>268</v>
      </c>
      <c r="G37" t="s">
        <v>19</v>
      </c>
      <c r="H37" t="s">
        <v>13</v>
      </c>
    </row>
    <row r="38" spans="1:8">
      <c r="A38" t="s">
        <v>26</v>
      </c>
      <c r="B38">
        <v>116257</v>
      </c>
      <c r="C38">
        <v>1.8</v>
      </c>
      <c r="D38">
        <v>1</v>
      </c>
      <c r="E38" s="11">
        <v>12.121600000000001</v>
      </c>
      <c r="F38" t="s">
        <v>267</v>
      </c>
      <c r="G38" t="s">
        <v>17</v>
      </c>
      <c r="H38" t="s">
        <v>13</v>
      </c>
    </row>
    <row r="39" spans="1:8">
      <c r="A39" t="s">
        <v>16</v>
      </c>
      <c r="B39">
        <v>363906</v>
      </c>
      <c r="C39">
        <v>5.6</v>
      </c>
      <c r="D39">
        <v>1</v>
      </c>
      <c r="E39" s="11">
        <v>37</v>
      </c>
      <c r="F39" t="s">
        <v>8</v>
      </c>
      <c r="G39" t="s">
        <v>17</v>
      </c>
      <c r="H39" s="9" t="s">
        <v>13</v>
      </c>
    </row>
    <row r="40" spans="1:8">
      <c r="A40" t="s">
        <v>129</v>
      </c>
      <c r="B40">
        <v>93</v>
      </c>
      <c r="C40">
        <v>0</v>
      </c>
      <c r="D40">
        <v>0</v>
      </c>
      <c r="E40" s="11">
        <v>57</v>
      </c>
      <c r="F40" t="s">
        <v>287</v>
      </c>
      <c r="G40" t="s">
        <v>19</v>
      </c>
      <c r="H40" t="s">
        <v>13</v>
      </c>
    </row>
    <row r="41" spans="1:8">
      <c r="A41" t="s">
        <v>42</v>
      </c>
      <c r="B41">
        <v>25558</v>
      </c>
      <c r="C41">
        <v>0.4</v>
      </c>
      <c r="D41">
        <v>1</v>
      </c>
      <c r="E41" s="11">
        <v>44.25</v>
      </c>
      <c r="F41" t="s">
        <v>263</v>
      </c>
      <c r="G41" t="s">
        <v>19</v>
      </c>
      <c r="H41" t="s">
        <v>13</v>
      </c>
    </row>
    <row r="42" spans="1:8">
      <c r="A42" t="s">
        <v>82</v>
      </c>
      <c r="B42">
        <v>1265</v>
      </c>
      <c r="C42">
        <v>0</v>
      </c>
      <c r="D42">
        <v>1</v>
      </c>
      <c r="E42" s="11">
        <v>44</v>
      </c>
      <c r="F42" t="s">
        <v>69</v>
      </c>
      <c r="G42" t="s">
        <v>19</v>
      </c>
      <c r="H42" t="s">
        <v>13</v>
      </c>
    </row>
    <row r="43" spans="1:8">
      <c r="A43" s="5" t="s">
        <v>98</v>
      </c>
      <c r="B43" s="5">
        <v>677</v>
      </c>
      <c r="C43" s="5">
        <v>0</v>
      </c>
      <c r="D43" s="5">
        <v>1</v>
      </c>
      <c r="E43" s="11">
        <v>37</v>
      </c>
      <c r="F43" s="5" t="s">
        <v>8</v>
      </c>
      <c r="G43" s="5" t="s">
        <v>19</v>
      </c>
      <c r="H43" s="5" t="e">
        <v>#N/A</v>
      </c>
    </row>
    <row r="44" spans="1:8">
      <c r="A44" t="s">
        <v>28</v>
      </c>
      <c r="B44">
        <v>109801</v>
      </c>
      <c r="C44">
        <v>1.7</v>
      </c>
      <c r="D44">
        <v>0</v>
      </c>
      <c r="E44" s="11">
        <v>1.2727272727272729</v>
      </c>
      <c r="F44" t="s">
        <v>11</v>
      </c>
      <c r="G44" t="s">
        <v>12</v>
      </c>
      <c r="H44" t="s">
        <v>13</v>
      </c>
    </row>
    <row r="45" spans="1:8">
      <c r="A45" t="s">
        <v>61</v>
      </c>
      <c r="B45">
        <v>4810</v>
      </c>
      <c r="C45">
        <v>0.1</v>
      </c>
      <c r="D45">
        <v>0</v>
      </c>
      <c r="E45" s="11">
        <v>1.2727272727272729</v>
      </c>
      <c r="F45" t="s">
        <v>11</v>
      </c>
      <c r="G45" t="s">
        <v>12</v>
      </c>
      <c r="H45" t="s">
        <v>13</v>
      </c>
    </row>
    <row r="46" spans="1:8">
      <c r="A46" t="s">
        <v>96</v>
      </c>
      <c r="B46">
        <v>705</v>
      </c>
      <c r="C46">
        <v>0</v>
      </c>
      <c r="D46">
        <v>1</v>
      </c>
      <c r="E46" s="11">
        <v>43</v>
      </c>
      <c r="F46" t="s">
        <v>97</v>
      </c>
      <c r="G46" t="s">
        <v>19</v>
      </c>
      <c r="H46" t="s">
        <v>13</v>
      </c>
    </row>
    <row r="47" spans="1:8">
      <c r="A47" t="s">
        <v>167</v>
      </c>
      <c r="B47">
        <v>7</v>
      </c>
      <c r="C47">
        <v>0</v>
      </c>
      <c r="D47">
        <v>1</v>
      </c>
      <c r="E47" s="11">
        <v>68</v>
      </c>
      <c r="F47" t="s">
        <v>285</v>
      </c>
      <c r="G47" t="s">
        <v>19</v>
      </c>
      <c r="H47" t="s">
        <v>13</v>
      </c>
    </row>
    <row r="48" spans="1:8" s="5" customFormat="1">
      <c r="A48" t="s">
        <v>179</v>
      </c>
      <c r="B48">
        <v>2</v>
      </c>
      <c r="C48">
        <v>0</v>
      </c>
      <c r="D48">
        <v>1</v>
      </c>
      <c r="E48" s="11">
        <v>83</v>
      </c>
      <c r="F48" t="s">
        <v>290</v>
      </c>
      <c r="G48" t="s">
        <v>19</v>
      </c>
      <c r="H48" t="s">
        <v>13</v>
      </c>
    </row>
    <row r="49" spans="1:8">
      <c r="A49" t="s">
        <v>165</v>
      </c>
      <c r="B49">
        <v>8</v>
      </c>
      <c r="C49">
        <v>0</v>
      </c>
      <c r="D49">
        <v>1</v>
      </c>
      <c r="E49" s="11">
        <v>57</v>
      </c>
      <c r="F49" t="s">
        <v>287</v>
      </c>
      <c r="G49" t="s">
        <v>19</v>
      </c>
      <c r="H49" t="s">
        <v>13</v>
      </c>
    </row>
    <row r="50" spans="1:8">
      <c r="A50" t="s">
        <v>151</v>
      </c>
      <c r="B50">
        <v>21</v>
      </c>
      <c r="C50">
        <v>0</v>
      </c>
      <c r="D50">
        <v>0</v>
      </c>
      <c r="E50" s="11">
        <v>149</v>
      </c>
      <c r="F50" t="s">
        <v>292</v>
      </c>
      <c r="G50" t="s">
        <v>19</v>
      </c>
      <c r="H50" t="s">
        <v>13</v>
      </c>
    </row>
    <row r="51" spans="1:8">
      <c r="A51" t="s">
        <v>36</v>
      </c>
      <c r="B51">
        <v>47444</v>
      </c>
      <c r="C51">
        <v>0.7</v>
      </c>
      <c r="D51">
        <v>0</v>
      </c>
      <c r="E51" s="11">
        <v>0.95147986414361962</v>
      </c>
      <c r="F51" t="s">
        <v>23</v>
      </c>
      <c r="G51" t="s">
        <v>12</v>
      </c>
      <c r="H51" t="s">
        <v>13</v>
      </c>
    </row>
    <row r="52" spans="1:8">
      <c r="A52" t="s">
        <v>52</v>
      </c>
      <c r="B52">
        <v>12596</v>
      </c>
      <c r="C52">
        <v>0.2</v>
      </c>
      <c r="D52">
        <v>1</v>
      </c>
      <c r="E52" s="11">
        <v>2.2402628909179128</v>
      </c>
      <c r="F52" t="s">
        <v>276</v>
      </c>
      <c r="G52" t="s">
        <v>17</v>
      </c>
      <c r="H52" t="s">
        <v>13</v>
      </c>
    </row>
    <row r="53" spans="1:8">
      <c r="A53" t="s">
        <v>112</v>
      </c>
      <c r="B53">
        <v>233</v>
      </c>
      <c r="C53">
        <v>0</v>
      </c>
      <c r="D53">
        <v>0</v>
      </c>
      <c r="E53" s="11">
        <v>1.2727272727272729</v>
      </c>
      <c r="F53" t="s">
        <v>11</v>
      </c>
      <c r="G53" t="s">
        <v>12</v>
      </c>
      <c r="H53" t="s">
        <v>13</v>
      </c>
    </row>
    <row r="54" spans="1:8" s="5" customFormat="1">
      <c r="A54" t="s">
        <v>160</v>
      </c>
      <c r="B54">
        <v>10</v>
      </c>
      <c r="C54">
        <v>0</v>
      </c>
      <c r="D54">
        <v>1</v>
      </c>
      <c r="E54" s="11">
        <v>5.6666666666666661</v>
      </c>
      <c r="F54" t="s">
        <v>161</v>
      </c>
      <c r="G54" t="s">
        <v>19</v>
      </c>
      <c r="H54" t="s">
        <v>13</v>
      </c>
    </row>
    <row r="55" spans="1:8">
      <c r="A55" t="s">
        <v>7</v>
      </c>
      <c r="B55">
        <v>2422008</v>
      </c>
      <c r="C55">
        <v>37</v>
      </c>
      <c r="D55">
        <v>1</v>
      </c>
      <c r="E55" s="11">
        <v>37</v>
      </c>
      <c r="F55" t="s">
        <v>8</v>
      </c>
      <c r="G55" t="s">
        <v>9</v>
      </c>
      <c r="H55" s="9" t="s">
        <v>13</v>
      </c>
    </row>
    <row r="56" spans="1:8" s="5" customFormat="1">
      <c r="A56" t="s">
        <v>34</v>
      </c>
      <c r="B56">
        <v>84681</v>
      </c>
      <c r="C56">
        <v>1.3</v>
      </c>
      <c r="D56">
        <v>1</v>
      </c>
      <c r="E56" s="11">
        <v>44.25</v>
      </c>
      <c r="F56" t="s">
        <v>263</v>
      </c>
      <c r="G56" t="s">
        <v>9</v>
      </c>
      <c r="H56" t="s">
        <v>13</v>
      </c>
    </row>
    <row r="57" spans="1:8">
      <c r="A57" t="s">
        <v>18</v>
      </c>
      <c r="B57">
        <v>345504</v>
      </c>
      <c r="C57">
        <v>5.3</v>
      </c>
      <c r="D57">
        <v>1</v>
      </c>
      <c r="E57" s="11">
        <v>10.0749</v>
      </c>
      <c r="F57" t="s">
        <v>266</v>
      </c>
      <c r="G57" t="s">
        <v>19</v>
      </c>
      <c r="H57" s="9" t="s">
        <v>13</v>
      </c>
    </row>
    <row r="58" spans="1:8">
      <c r="A58" t="s">
        <v>70</v>
      </c>
      <c r="B58">
        <v>2931</v>
      </c>
      <c r="C58">
        <v>0</v>
      </c>
      <c r="D58">
        <v>0</v>
      </c>
      <c r="E58" s="11">
        <v>1.2727272727272729</v>
      </c>
      <c r="F58" t="s">
        <v>11</v>
      </c>
      <c r="G58" t="s">
        <v>12</v>
      </c>
      <c r="H58" t="s">
        <v>13</v>
      </c>
    </row>
    <row r="59" spans="1:8">
      <c r="A59" t="s">
        <v>72</v>
      </c>
      <c r="B59">
        <v>2091</v>
      </c>
      <c r="C59">
        <v>0</v>
      </c>
      <c r="D59">
        <v>0</v>
      </c>
      <c r="E59" s="11">
        <v>1.2727272727272729</v>
      </c>
      <c r="F59" t="s">
        <v>11</v>
      </c>
      <c r="G59" t="s">
        <v>12</v>
      </c>
      <c r="H59" t="s">
        <v>13</v>
      </c>
    </row>
    <row r="60" spans="1:8" s="5" customFormat="1">
      <c r="A60" t="s">
        <v>22</v>
      </c>
      <c r="B60">
        <v>193013</v>
      </c>
      <c r="C60">
        <v>2.9</v>
      </c>
      <c r="D60">
        <v>1</v>
      </c>
      <c r="E60" s="11">
        <v>0.95147986414361962</v>
      </c>
      <c r="F60" t="s">
        <v>23</v>
      </c>
      <c r="G60" t="s">
        <v>19</v>
      </c>
      <c r="H60" s="9" t="s">
        <v>13</v>
      </c>
    </row>
    <row r="61" spans="1:8">
      <c r="A61" s="5" t="s">
        <v>162</v>
      </c>
      <c r="B61" s="5">
        <v>9</v>
      </c>
      <c r="C61" s="5">
        <v>0</v>
      </c>
      <c r="D61" s="5">
        <v>0</v>
      </c>
      <c r="E61" s="11">
        <v>1.2727272727272729</v>
      </c>
      <c r="F61" s="5" t="s">
        <v>81</v>
      </c>
      <c r="G61" s="5" t="s">
        <v>19</v>
      </c>
      <c r="H61" s="5" t="e">
        <v>#N/A</v>
      </c>
    </row>
    <row r="62" spans="1:8">
      <c r="A62" s="5" t="s">
        <v>180</v>
      </c>
      <c r="B62" s="5">
        <v>2</v>
      </c>
      <c r="C62" s="5">
        <v>0</v>
      </c>
      <c r="D62" s="5">
        <v>0</v>
      </c>
      <c r="E62" s="11">
        <v>1.27272727272727</v>
      </c>
      <c r="F62" s="5" t="s">
        <v>81</v>
      </c>
      <c r="G62" s="5" t="s">
        <v>19</v>
      </c>
      <c r="H62" s="5" t="e">
        <v>#N/A</v>
      </c>
    </row>
    <row r="63" spans="1:8">
      <c r="A63" t="s">
        <v>145</v>
      </c>
      <c r="B63">
        <v>27</v>
      </c>
      <c r="C63">
        <v>0</v>
      </c>
      <c r="D63">
        <v>0</v>
      </c>
      <c r="E63" s="11">
        <v>44</v>
      </c>
      <c r="F63" t="s">
        <v>278</v>
      </c>
      <c r="G63" t="s">
        <v>19</v>
      </c>
      <c r="H63" t="s">
        <v>13</v>
      </c>
    </row>
    <row r="64" spans="1:8">
      <c r="A64" t="s">
        <v>58</v>
      </c>
      <c r="B64">
        <v>6792</v>
      </c>
      <c r="C64">
        <v>0.1</v>
      </c>
      <c r="D64">
        <v>0</v>
      </c>
      <c r="E64" s="11">
        <v>1.2727272727272729</v>
      </c>
      <c r="F64" t="s">
        <v>11</v>
      </c>
      <c r="G64" t="s">
        <v>12</v>
      </c>
      <c r="H64" t="s">
        <v>13</v>
      </c>
    </row>
    <row r="65" spans="1:8">
      <c r="A65" t="s">
        <v>75</v>
      </c>
      <c r="B65">
        <v>1767</v>
      </c>
      <c r="C65">
        <v>0</v>
      </c>
      <c r="D65">
        <v>0</v>
      </c>
      <c r="E65" s="11">
        <v>1.2727272727272729</v>
      </c>
      <c r="F65" t="s">
        <v>11</v>
      </c>
      <c r="G65" t="s">
        <v>12</v>
      </c>
      <c r="H65" t="s">
        <v>13</v>
      </c>
    </row>
    <row r="66" spans="1:8" s="5" customFormat="1">
      <c r="A66" t="s">
        <v>73</v>
      </c>
      <c r="B66">
        <v>2032</v>
      </c>
      <c r="C66">
        <v>0</v>
      </c>
      <c r="D66">
        <v>0</v>
      </c>
      <c r="E66" s="11">
        <v>1.2727272727272729</v>
      </c>
      <c r="F66" t="s">
        <v>11</v>
      </c>
      <c r="G66" t="s">
        <v>12</v>
      </c>
      <c r="H66" t="s">
        <v>13</v>
      </c>
    </row>
    <row r="67" spans="1:8">
      <c r="A67" s="5" t="s">
        <v>111</v>
      </c>
      <c r="B67" s="5">
        <v>234</v>
      </c>
      <c r="C67" s="5">
        <v>0</v>
      </c>
      <c r="D67" s="5">
        <v>1</v>
      </c>
      <c r="E67" s="11">
        <v>37</v>
      </c>
      <c r="F67" s="5" t="s">
        <v>8</v>
      </c>
      <c r="G67" s="5" t="s">
        <v>19</v>
      </c>
      <c r="H67" s="5" t="e">
        <v>#N/A</v>
      </c>
    </row>
    <row r="68" spans="1:8">
      <c r="A68" s="5" t="s">
        <v>94</v>
      </c>
      <c r="B68" s="5">
        <v>751</v>
      </c>
      <c r="C68" s="5">
        <v>0</v>
      </c>
      <c r="D68" s="5">
        <v>1</v>
      </c>
      <c r="E68" s="11">
        <v>37</v>
      </c>
      <c r="F68" s="5" t="s">
        <v>8</v>
      </c>
      <c r="G68" s="5" t="s">
        <v>19</v>
      </c>
      <c r="H68" s="5" t="e">
        <v>#N/A</v>
      </c>
    </row>
    <row r="69" spans="1:8">
      <c r="A69" s="5" t="s">
        <v>138</v>
      </c>
      <c r="B69" s="5">
        <v>43</v>
      </c>
      <c r="C69" s="5">
        <v>0</v>
      </c>
      <c r="D69" s="5">
        <v>1</v>
      </c>
      <c r="E69" s="11">
        <v>37</v>
      </c>
      <c r="F69" s="5" t="s">
        <v>8</v>
      </c>
      <c r="G69" s="5" t="s">
        <v>19</v>
      </c>
      <c r="H69" s="5" t="e">
        <v>#N/A</v>
      </c>
    </row>
    <row r="70" spans="1:8" s="5" customFormat="1">
      <c r="A70" t="s">
        <v>78</v>
      </c>
      <c r="B70">
        <v>1517</v>
      </c>
      <c r="C70">
        <v>0</v>
      </c>
      <c r="D70">
        <v>0</v>
      </c>
      <c r="E70" s="11">
        <v>1.2727272727272729</v>
      </c>
      <c r="F70" t="s">
        <v>11</v>
      </c>
      <c r="G70" t="s">
        <v>12</v>
      </c>
      <c r="H70" t="s">
        <v>13</v>
      </c>
    </row>
    <row r="71" spans="1:8">
      <c r="A71" s="5" t="s">
        <v>113</v>
      </c>
      <c r="B71" s="5">
        <v>228</v>
      </c>
      <c r="C71" s="5">
        <v>0</v>
      </c>
      <c r="D71" s="5">
        <v>1</v>
      </c>
      <c r="E71" s="11">
        <v>5.6666666666666661</v>
      </c>
      <c r="F71" s="5" t="s">
        <v>161</v>
      </c>
      <c r="G71" s="5" t="s">
        <v>19</v>
      </c>
      <c r="H71" s="5" t="e">
        <v>#N/A</v>
      </c>
    </row>
    <row r="72" spans="1:8">
      <c r="A72" t="s">
        <v>39</v>
      </c>
      <c r="B72">
        <v>34192</v>
      </c>
      <c r="C72">
        <v>0.5</v>
      </c>
      <c r="D72">
        <v>1</v>
      </c>
      <c r="E72" s="11">
        <v>44.25</v>
      </c>
      <c r="F72" t="s">
        <v>263</v>
      </c>
      <c r="G72" t="s">
        <v>9</v>
      </c>
      <c r="H72" t="s">
        <v>13</v>
      </c>
    </row>
    <row r="73" spans="1:8" s="5" customFormat="1">
      <c r="A73" t="s">
        <v>14</v>
      </c>
      <c r="B73">
        <v>401563</v>
      </c>
      <c r="C73">
        <v>6.1</v>
      </c>
      <c r="D73">
        <v>0</v>
      </c>
      <c r="E73" s="11">
        <v>2.6331436637113494</v>
      </c>
      <c r="F73" t="s">
        <v>15</v>
      </c>
      <c r="G73" t="s">
        <v>12</v>
      </c>
      <c r="H73" t="s">
        <v>13</v>
      </c>
    </row>
    <row r="74" spans="1:8">
      <c r="A74" t="s">
        <v>183</v>
      </c>
      <c r="B74">
        <v>1</v>
      </c>
      <c r="C74">
        <v>0</v>
      </c>
      <c r="D74">
        <v>0</v>
      </c>
      <c r="E74" s="11">
        <v>150</v>
      </c>
      <c r="F74" t="s">
        <v>295</v>
      </c>
      <c r="G74" t="s">
        <v>19</v>
      </c>
      <c r="H74" t="s">
        <v>13</v>
      </c>
    </row>
    <row r="75" spans="1:8">
      <c r="A75" t="s">
        <v>59</v>
      </c>
      <c r="B75">
        <v>6654</v>
      </c>
      <c r="C75">
        <v>0.1</v>
      </c>
      <c r="D75">
        <v>0</v>
      </c>
      <c r="E75" s="11">
        <v>1.2727272727272729</v>
      </c>
      <c r="F75" t="s">
        <v>11</v>
      </c>
      <c r="G75" t="s">
        <v>12</v>
      </c>
      <c r="H75" t="s">
        <v>13</v>
      </c>
    </row>
    <row r="76" spans="1:8" s="5" customFormat="1">
      <c r="A76" t="s">
        <v>87</v>
      </c>
      <c r="B76">
        <v>1056</v>
      </c>
      <c r="C76">
        <v>0</v>
      </c>
      <c r="D76">
        <v>0</v>
      </c>
      <c r="E76" s="11">
        <v>1.2727272727272729</v>
      </c>
      <c r="F76" t="s">
        <v>11</v>
      </c>
      <c r="G76" t="s">
        <v>12</v>
      </c>
      <c r="H76" t="s">
        <v>13</v>
      </c>
    </row>
    <row r="77" spans="1:8">
      <c r="A77" t="s">
        <v>32</v>
      </c>
      <c r="B77">
        <v>87534</v>
      </c>
      <c r="C77">
        <v>1.3</v>
      </c>
      <c r="D77">
        <v>0</v>
      </c>
      <c r="E77" s="11">
        <v>1.2727272727272729</v>
      </c>
      <c r="F77" t="s">
        <v>11</v>
      </c>
      <c r="G77" t="s">
        <v>12</v>
      </c>
      <c r="H77" t="s">
        <v>13</v>
      </c>
    </row>
    <row r="78" spans="1:8" s="5" customFormat="1">
      <c r="A78" t="s">
        <v>80</v>
      </c>
      <c r="B78">
        <v>1294</v>
      </c>
      <c r="C78">
        <v>0</v>
      </c>
      <c r="D78">
        <v>0</v>
      </c>
      <c r="E78" s="11">
        <v>1.2727272727272729</v>
      </c>
      <c r="F78" t="s">
        <v>81</v>
      </c>
      <c r="G78" t="s">
        <v>19</v>
      </c>
      <c r="H78" t="s">
        <v>13</v>
      </c>
    </row>
    <row r="79" spans="1:8">
      <c r="A79" t="s">
        <v>115</v>
      </c>
      <c r="B79">
        <v>199</v>
      </c>
      <c r="C79">
        <v>0</v>
      </c>
      <c r="D79">
        <v>0</v>
      </c>
      <c r="E79" s="11">
        <v>43</v>
      </c>
      <c r="F79" t="s">
        <v>284</v>
      </c>
      <c r="G79" t="s">
        <v>19</v>
      </c>
      <c r="H79" t="s">
        <v>13</v>
      </c>
    </row>
    <row r="80" spans="1:8">
      <c r="A80" t="s">
        <v>60</v>
      </c>
      <c r="B80">
        <v>5498</v>
      </c>
      <c r="C80">
        <v>0.1</v>
      </c>
      <c r="D80">
        <v>1</v>
      </c>
      <c r="E80" s="11">
        <v>6.5</v>
      </c>
      <c r="F80" t="s">
        <v>264</v>
      </c>
      <c r="G80" t="s">
        <v>19</v>
      </c>
      <c r="H80" t="s">
        <v>13</v>
      </c>
    </row>
    <row r="81" spans="1:8" s="5" customFormat="1">
      <c r="A81" t="s">
        <v>146</v>
      </c>
      <c r="B81">
        <v>26</v>
      </c>
      <c r="C81">
        <v>0</v>
      </c>
      <c r="D81">
        <v>1</v>
      </c>
      <c r="E81" s="11">
        <v>35</v>
      </c>
      <c r="F81" t="s">
        <v>272</v>
      </c>
      <c r="G81" t="s">
        <v>19</v>
      </c>
      <c r="H81" t="s">
        <v>13</v>
      </c>
    </row>
    <row r="82" spans="1:8">
      <c r="A82" t="s">
        <v>181</v>
      </c>
      <c r="B82">
        <v>2</v>
      </c>
      <c r="C82">
        <v>0</v>
      </c>
      <c r="D82">
        <v>1</v>
      </c>
      <c r="E82" s="11">
        <v>45</v>
      </c>
      <c r="F82" t="s">
        <v>265</v>
      </c>
      <c r="G82" t="s">
        <v>17</v>
      </c>
      <c r="H82" t="s">
        <v>13</v>
      </c>
    </row>
    <row r="83" spans="1:8">
      <c r="A83" t="s">
        <v>93</v>
      </c>
      <c r="B83">
        <v>822</v>
      </c>
      <c r="C83">
        <v>0</v>
      </c>
      <c r="D83">
        <v>1</v>
      </c>
      <c r="E83" s="11">
        <v>35</v>
      </c>
      <c r="F83" t="s">
        <v>275</v>
      </c>
      <c r="G83" t="s">
        <v>17</v>
      </c>
      <c r="H83" t="s">
        <v>13</v>
      </c>
    </row>
    <row r="84" spans="1:8">
      <c r="A84" s="5" t="s">
        <v>154</v>
      </c>
      <c r="B84" s="5">
        <v>16</v>
      </c>
      <c r="C84" s="5">
        <v>0</v>
      </c>
      <c r="D84" s="5">
        <v>1</v>
      </c>
      <c r="E84" s="11">
        <v>68</v>
      </c>
      <c r="F84" s="5" t="s">
        <v>285</v>
      </c>
      <c r="G84" s="5" t="s">
        <v>19</v>
      </c>
      <c r="H84" s="5" t="e">
        <v>#N/A</v>
      </c>
    </row>
    <row r="85" spans="1:8" s="5" customFormat="1">
      <c r="A85" s="5" t="s">
        <v>184</v>
      </c>
      <c r="B85" s="5">
        <v>1</v>
      </c>
      <c r="C85" s="5">
        <v>0</v>
      </c>
      <c r="D85" s="5">
        <v>1</v>
      </c>
      <c r="E85" s="11">
        <v>83</v>
      </c>
      <c r="F85" s="5" t="s">
        <v>290</v>
      </c>
      <c r="G85" s="5" t="s">
        <v>19</v>
      </c>
      <c r="H85" s="5" t="e">
        <v>#N/A</v>
      </c>
    </row>
    <row r="86" spans="1:8">
      <c r="A86" t="s">
        <v>66</v>
      </c>
      <c r="B86">
        <v>3476</v>
      </c>
      <c r="C86">
        <v>0.1</v>
      </c>
      <c r="D86">
        <v>0</v>
      </c>
      <c r="E86" s="11">
        <v>1.27</v>
      </c>
      <c r="F86" t="s">
        <v>11</v>
      </c>
      <c r="G86" t="s">
        <v>12</v>
      </c>
      <c r="H86" t="s">
        <v>13</v>
      </c>
    </row>
    <row r="87" spans="1:8" s="5" customFormat="1">
      <c r="A87" t="s">
        <v>83</v>
      </c>
      <c r="B87">
        <v>1214</v>
      </c>
      <c r="C87">
        <v>0</v>
      </c>
      <c r="D87">
        <v>0</v>
      </c>
      <c r="E87" s="11">
        <v>1.2727272727272729</v>
      </c>
      <c r="F87" t="s">
        <v>11</v>
      </c>
      <c r="G87" t="s">
        <v>12</v>
      </c>
      <c r="H87" t="s">
        <v>13</v>
      </c>
    </row>
    <row r="88" spans="1:8" s="5" customFormat="1">
      <c r="A88" t="s">
        <v>53</v>
      </c>
      <c r="B88">
        <v>11584</v>
      </c>
      <c r="C88">
        <v>0.2</v>
      </c>
      <c r="D88">
        <v>1</v>
      </c>
      <c r="E88" s="11">
        <v>45</v>
      </c>
      <c r="F88" t="s">
        <v>270</v>
      </c>
      <c r="G88" t="s">
        <v>17</v>
      </c>
      <c r="H88" t="s">
        <v>13</v>
      </c>
    </row>
    <row r="89" spans="1:8">
      <c r="A89" t="s">
        <v>50</v>
      </c>
      <c r="B89">
        <v>16006</v>
      </c>
      <c r="C89">
        <v>0.2</v>
      </c>
      <c r="D89">
        <v>1</v>
      </c>
      <c r="E89" s="11">
        <v>39</v>
      </c>
      <c r="F89" t="s">
        <v>51</v>
      </c>
      <c r="G89" t="s">
        <v>17</v>
      </c>
      <c r="H89" t="s">
        <v>13</v>
      </c>
    </row>
    <row r="90" spans="1:8">
      <c r="A90" t="s">
        <v>166</v>
      </c>
      <c r="B90">
        <v>8</v>
      </c>
      <c r="C90">
        <v>0</v>
      </c>
      <c r="D90">
        <v>1</v>
      </c>
      <c r="E90" s="11">
        <v>19.196153846153848</v>
      </c>
      <c r="F90" t="s">
        <v>27</v>
      </c>
      <c r="G90" t="s">
        <v>17</v>
      </c>
      <c r="H90" t="s">
        <v>13</v>
      </c>
    </row>
    <row r="91" spans="1:8" s="5" customFormat="1">
      <c r="A91" t="s">
        <v>144</v>
      </c>
      <c r="B91">
        <v>30</v>
      </c>
      <c r="C91">
        <v>0</v>
      </c>
      <c r="D91">
        <v>1</v>
      </c>
      <c r="E91" s="11">
        <v>44</v>
      </c>
      <c r="F91" t="s">
        <v>281</v>
      </c>
      <c r="G91" t="s">
        <v>19</v>
      </c>
      <c r="H91" t="s">
        <v>13</v>
      </c>
    </row>
    <row r="92" spans="1:8">
      <c r="A92" s="5" t="s">
        <v>90</v>
      </c>
      <c r="B92" s="5">
        <v>986</v>
      </c>
      <c r="C92" s="5">
        <v>0</v>
      </c>
      <c r="D92" s="5">
        <v>1</v>
      </c>
      <c r="E92" s="11">
        <v>1.1084645582462176</v>
      </c>
      <c r="F92" s="5" t="s">
        <v>65</v>
      </c>
      <c r="G92" s="5" t="s">
        <v>19</v>
      </c>
      <c r="H92" s="5" t="e">
        <v>#N/A</v>
      </c>
    </row>
    <row r="93" spans="1:8">
      <c r="A93" t="s">
        <v>148</v>
      </c>
      <c r="B93">
        <v>23</v>
      </c>
      <c r="C93">
        <v>0</v>
      </c>
      <c r="D93">
        <v>1</v>
      </c>
      <c r="E93" s="11">
        <v>57</v>
      </c>
      <c r="F93" t="s">
        <v>287</v>
      </c>
      <c r="G93" t="s">
        <v>19</v>
      </c>
      <c r="H93" t="s">
        <v>13</v>
      </c>
    </row>
    <row r="94" spans="1:8">
      <c r="A94" t="s">
        <v>168</v>
      </c>
      <c r="B94">
        <v>7</v>
      </c>
      <c r="C94">
        <v>0</v>
      </c>
      <c r="D94">
        <v>0</v>
      </c>
      <c r="E94" s="11">
        <v>83</v>
      </c>
      <c r="F94" t="s">
        <v>290</v>
      </c>
      <c r="G94" t="s">
        <v>19</v>
      </c>
      <c r="H94" t="s">
        <v>13</v>
      </c>
    </row>
    <row r="95" spans="1:8">
      <c r="A95" t="s">
        <v>102</v>
      </c>
      <c r="B95">
        <v>541</v>
      </c>
      <c r="C95">
        <v>0</v>
      </c>
      <c r="D95">
        <v>1</v>
      </c>
      <c r="E95" s="11">
        <v>44</v>
      </c>
      <c r="F95" t="s">
        <v>278</v>
      </c>
      <c r="G95" t="s">
        <v>19</v>
      </c>
      <c r="H95" t="s">
        <v>13</v>
      </c>
    </row>
    <row r="96" spans="1:8">
      <c r="A96" t="s">
        <v>76</v>
      </c>
      <c r="B96">
        <v>1599</v>
      </c>
      <c r="C96">
        <v>0</v>
      </c>
      <c r="D96">
        <v>1</v>
      </c>
      <c r="E96" s="11">
        <v>35</v>
      </c>
      <c r="F96" t="s">
        <v>272</v>
      </c>
      <c r="G96" t="s">
        <v>19</v>
      </c>
      <c r="H96" t="s">
        <v>13</v>
      </c>
    </row>
    <row r="97" spans="1:8">
      <c r="A97" t="s">
        <v>62</v>
      </c>
      <c r="B97">
        <v>4226</v>
      </c>
      <c r="C97">
        <v>0.1</v>
      </c>
      <c r="D97">
        <v>0</v>
      </c>
      <c r="E97" s="11">
        <v>1.2727272727272729</v>
      </c>
      <c r="F97" t="s">
        <v>11</v>
      </c>
      <c r="G97" t="s">
        <v>12</v>
      </c>
      <c r="H97" t="s">
        <v>13</v>
      </c>
    </row>
    <row r="98" spans="1:8">
      <c r="A98" t="s">
        <v>150</v>
      </c>
      <c r="B98">
        <v>22</v>
      </c>
      <c r="C98">
        <v>0</v>
      </c>
      <c r="D98">
        <v>1</v>
      </c>
      <c r="E98" s="11">
        <v>48</v>
      </c>
      <c r="F98" t="s">
        <v>291</v>
      </c>
      <c r="G98" t="s">
        <v>19</v>
      </c>
      <c r="H98" t="s">
        <v>13</v>
      </c>
    </row>
    <row r="99" spans="1:8">
      <c r="A99" t="s">
        <v>121</v>
      </c>
      <c r="B99">
        <v>136</v>
      </c>
      <c r="C99">
        <v>0</v>
      </c>
      <c r="D99">
        <v>0</v>
      </c>
      <c r="E99" s="11">
        <v>57</v>
      </c>
      <c r="F99" t="s">
        <v>287</v>
      </c>
      <c r="G99" t="s">
        <v>19</v>
      </c>
      <c r="H99" t="s">
        <v>13</v>
      </c>
    </row>
    <row r="100" spans="1:8">
      <c r="A100" t="s">
        <v>85</v>
      </c>
      <c r="B100">
        <v>1167</v>
      </c>
      <c r="C100">
        <v>0</v>
      </c>
      <c r="D100">
        <v>1</v>
      </c>
      <c r="E100" s="11">
        <v>23.5</v>
      </c>
      <c r="F100" t="s">
        <v>273</v>
      </c>
      <c r="G100" t="s">
        <v>19</v>
      </c>
      <c r="H100" t="s">
        <v>13</v>
      </c>
    </row>
    <row r="101" spans="1:8">
      <c r="A101" t="s">
        <v>139</v>
      </c>
      <c r="B101">
        <v>39</v>
      </c>
      <c r="C101">
        <v>0</v>
      </c>
      <c r="D101">
        <v>1</v>
      </c>
      <c r="E101" s="11">
        <v>83</v>
      </c>
      <c r="F101" t="s">
        <v>290</v>
      </c>
      <c r="G101" t="s">
        <v>19</v>
      </c>
      <c r="H101" t="s">
        <v>13</v>
      </c>
    </row>
    <row r="102" spans="1:8">
      <c r="A102" t="s">
        <v>95</v>
      </c>
      <c r="B102">
        <v>730</v>
      </c>
      <c r="C102">
        <v>0</v>
      </c>
      <c r="D102">
        <v>0</v>
      </c>
      <c r="E102" s="11">
        <v>115.5</v>
      </c>
      <c r="F102" t="s">
        <v>283</v>
      </c>
      <c r="G102" t="s">
        <v>19</v>
      </c>
      <c r="H102" t="s">
        <v>13</v>
      </c>
    </row>
    <row r="103" spans="1:8">
      <c r="A103" t="s">
        <v>86</v>
      </c>
      <c r="B103">
        <v>1089</v>
      </c>
      <c r="C103">
        <v>0</v>
      </c>
      <c r="D103">
        <v>1</v>
      </c>
      <c r="E103" s="11">
        <v>29</v>
      </c>
      <c r="F103" t="s">
        <v>274</v>
      </c>
      <c r="G103" t="s">
        <v>19</v>
      </c>
      <c r="H103" t="s">
        <v>13</v>
      </c>
    </row>
    <row r="104" spans="1:8">
      <c r="A104" t="s">
        <v>126</v>
      </c>
      <c r="B104">
        <v>104</v>
      </c>
      <c r="C104">
        <v>0</v>
      </c>
      <c r="D104">
        <v>0</v>
      </c>
      <c r="E104" s="11">
        <v>0.95</v>
      </c>
      <c r="F104" t="s">
        <v>288</v>
      </c>
      <c r="G104" t="s">
        <v>19</v>
      </c>
      <c r="H104" t="s">
        <v>13</v>
      </c>
    </row>
    <row r="105" spans="1:8" s="5" customFormat="1">
      <c r="A105" t="s">
        <v>40</v>
      </c>
      <c r="B105">
        <v>30176</v>
      </c>
      <c r="C105">
        <v>0.5</v>
      </c>
      <c r="D105">
        <v>1</v>
      </c>
      <c r="E105" s="11">
        <v>1.6486259979709761</v>
      </c>
      <c r="F105" t="s">
        <v>41</v>
      </c>
      <c r="G105" t="s">
        <v>19</v>
      </c>
      <c r="H105" t="s">
        <v>13</v>
      </c>
    </row>
    <row r="106" spans="1:8">
      <c r="A106" t="s">
        <v>37</v>
      </c>
      <c r="B106">
        <v>44870</v>
      </c>
      <c r="C106">
        <v>0.7</v>
      </c>
      <c r="D106">
        <v>1</v>
      </c>
      <c r="E106" s="11">
        <v>1.9029597282872392</v>
      </c>
      <c r="F106" t="s">
        <v>38</v>
      </c>
      <c r="G106" t="s">
        <v>19</v>
      </c>
      <c r="H106" t="s">
        <v>13</v>
      </c>
    </row>
    <row r="107" spans="1:8" s="5" customFormat="1">
      <c r="A107" t="s">
        <v>122</v>
      </c>
      <c r="B107">
        <v>131</v>
      </c>
      <c r="C107">
        <v>0</v>
      </c>
      <c r="D107">
        <v>1</v>
      </c>
      <c r="E107" s="11">
        <v>0.95147986414361962</v>
      </c>
      <c r="F107" t="s">
        <v>23</v>
      </c>
      <c r="G107" t="s">
        <v>19</v>
      </c>
      <c r="H107" t="s">
        <v>13</v>
      </c>
    </row>
    <row r="108" spans="1:8">
      <c r="A108" t="s">
        <v>68</v>
      </c>
      <c r="B108">
        <v>2939</v>
      </c>
      <c r="C108">
        <v>0</v>
      </c>
      <c r="D108">
        <v>1</v>
      </c>
      <c r="E108" s="11">
        <v>44</v>
      </c>
      <c r="F108" t="s">
        <v>69</v>
      </c>
      <c r="G108" t="s">
        <v>19</v>
      </c>
      <c r="H108" t="s">
        <v>13</v>
      </c>
    </row>
    <row r="109" spans="1:8">
      <c r="A109" t="s">
        <v>132</v>
      </c>
      <c r="B109">
        <v>75</v>
      </c>
      <c r="C109">
        <v>0</v>
      </c>
      <c r="D109">
        <v>1</v>
      </c>
      <c r="E109" s="11">
        <v>83</v>
      </c>
      <c r="F109" t="s">
        <v>290</v>
      </c>
      <c r="G109" t="s">
        <v>19</v>
      </c>
      <c r="H109" t="s">
        <v>13</v>
      </c>
    </row>
    <row r="110" spans="1:8" s="5" customFormat="1">
      <c r="A110" t="s">
        <v>120</v>
      </c>
      <c r="B110">
        <v>145</v>
      </c>
      <c r="C110">
        <v>0</v>
      </c>
      <c r="D110">
        <v>0</v>
      </c>
      <c r="E110" s="11">
        <v>77</v>
      </c>
      <c r="F110" t="s">
        <v>286</v>
      </c>
      <c r="G110" t="s">
        <v>19</v>
      </c>
      <c r="H110" t="s">
        <v>13</v>
      </c>
    </row>
    <row r="111" spans="1:8" s="5" customFormat="1">
      <c r="A111" t="s">
        <v>119</v>
      </c>
      <c r="B111">
        <v>148</v>
      </c>
      <c r="C111">
        <v>0</v>
      </c>
      <c r="D111">
        <v>1</v>
      </c>
      <c r="E111" s="11">
        <v>68</v>
      </c>
      <c r="F111" t="s">
        <v>285</v>
      </c>
      <c r="G111" t="s">
        <v>19</v>
      </c>
      <c r="H111" t="s">
        <v>13</v>
      </c>
    </row>
    <row r="112" spans="1:8">
      <c r="A112" s="5" t="s">
        <v>114</v>
      </c>
      <c r="B112" s="5">
        <v>220</v>
      </c>
      <c r="C112" s="5">
        <v>0</v>
      </c>
      <c r="D112" s="5">
        <v>0</v>
      </c>
      <c r="E112" s="11">
        <v>1.2727272727272729</v>
      </c>
      <c r="F112" s="5" t="s">
        <v>11</v>
      </c>
      <c r="G112" s="5" t="s">
        <v>12</v>
      </c>
      <c r="H112" s="5" t="e">
        <v>#N/A</v>
      </c>
    </row>
    <row r="113" spans="1:8">
      <c r="A113" s="5" t="s">
        <v>71</v>
      </c>
      <c r="B113" s="5">
        <v>2925</v>
      </c>
      <c r="C113" s="5">
        <v>0</v>
      </c>
      <c r="D113" s="5">
        <v>1</v>
      </c>
      <c r="E113" s="11">
        <v>37</v>
      </c>
      <c r="F113" s="5" t="s">
        <v>8</v>
      </c>
      <c r="G113" s="5" t="s">
        <v>9</v>
      </c>
      <c r="H113" s="5" t="e">
        <v>#N/A</v>
      </c>
    </row>
    <row r="114" spans="1:8">
      <c r="A114" s="5" t="s">
        <v>177</v>
      </c>
      <c r="B114" s="5">
        <v>3</v>
      </c>
      <c r="C114" s="5">
        <v>0</v>
      </c>
      <c r="D114" s="5">
        <v>1</v>
      </c>
      <c r="E114" s="11">
        <v>1.27272727272727</v>
      </c>
      <c r="F114" s="5" t="s">
        <v>81</v>
      </c>
      <c r="G114" s="5" t="s">
        <v>19</v>
      </c>
      <c r="H114" s="5" t="e">
        <v>#N/A</v>
      </c>
    </row>
    <row r="115" spans="1:8">
      <c r="A115" t="s">
        <v>130</v>
      </c>
      <c r="B115">
        <v>85</v>
      </c>
      <c r="C115">
        <v>0</v>
      </c>
      <c r="D115">
        <v>1</v>
      </c>
      <c r="E115" s="11">
        <v>68</v>
      </c>
      <c r="F115" t="s">
        <v>285</v>
      </c>
      <c r="G115" t="s">
        <v>19</v>
      </c>
      <c r="H115" t="s">
        <v>13</v>
      </c>
    </row>
    <row r="116" spans="1:8">
      <c r="A116" t="s">
        <v>125</v>
      </c>
      <c r="B116">
        <v>119</v>
      </c>
      <c r="C116">
        <v>0</v>
      </c>
      <c r="D116">
        <v>1</v>
      </c>
      <c r="E116" s="11">
        <v>1.9946627850557981</v>
      </c>
      <c r="F116" t="s">
        <v>46</v>
      </c>
      <c r="G116" t="s">
        <v>19</v>
      </c>
      <c r="H116" t="s">
        <v>13</v>
      </c>
    </row>
    <row r="117" spans="1:8">
      <c r="A117" t="s">
        <v>170</v>
      </c>
      <c r="B117">
        <v>6</v>
      </c>
      <c r="C117">
        <v>0</v>
      </c>
      <c r="D117">
        <v>1</v>
      </c>
      <c r="E117" s="11">
        <v>44</v>
      </c>
      <c r="F117" t="s">
        <v>278</v>
      </c>
      <c r="G117" t="s">
        <v>19</v>
      </c>
      <c r="H117" t="s">
        <v>13</v>
      </c>
    </row>
    <row r="118" spans="1:8">
      <c r="A118" t="s">
        <v>153</v>
      </c>
      <c r="B118">
        <v>19</v>
      </c>
      <c r="C118">
        <v>0</v>
      </c>
      <c r="D118">
        <v>1</v>
      </c>
      <c r="E118" s="11">
        <v>68</v>
      </c>
      <c r="F118" t="s">
        <v>285</v>
      </c>
      <c r="G118" t="s">
        <v>19</v>
      </c>
      <c r="H118" t="s">
        <v>13</v>
      </c>
    </row>
    <row r="119" spans="1:8">
      <c r="A119" t="s">
        <v>156</v>
      </c>
      <c r="B119">
        <v>13</v>
      </c>
      <c r="C119">
        <v>0</v>
      </c>
      <c r="D119">
        <v>1</v>
      </c>
      <c r="E119" s="11">
        <v>57</v>
      </c>
      <c r="F119" t="s">
        <v>293</v>
      </c>
      <c r="G119" t="s">
        <v>19</v>
      </c>
      <c r="H119" t="s">
        <v>13</v>
      </c>
    </row>
    <row r="120" spans="1:8">
      <c r="A120" t="s">
        <v>108</v>
      </c>
      <c r="B120">
        <v>288</v>
      </c>
      <c r="C120">
        <v>0</v>
      </c>
      <c r="D120">
        <v>1</v>
      </c>
      <c r="E120" s="11">
        <v>44</v>
      </c>
      <c r="F120" t="s">
        <v>278</v>
      </c>
      <c r="G120" t="s">
        <v>19</v>
      </c>
      <c r="H120" t="s">
        <v>13</v>
      </c>
    </row>
    <row r="121" spans="1:8">
      <c r="A121" t="s">
        <v>10</v>
      </c>
      <c r="B121">
        <v>630258</v>
      </c>
      <c r="C121">
        <v>9.6</v>
      </c>
      <c r="D121">
        <v>0</v>
      </c>
      <c r="E121" s="11">
        <v>1.2727272727272729</v>
      </c>
      <c r="F121" t="s">
        <v>11</v>
      </c>
      <c r="G121" t="s">
        <v>12</v>
      </c>
      <c r="H121" t="s">
        <v>13</v>
      </c>
    </row>
    <row r="122" spans="1:8">
      <c r="A122" s="5" t="s">
        <v>131</v>
      </c>
      <c r="B122" s="5">
        <v>82</v>
      </c>
      <c r="C122" s="5">
        <v>0</v>
      </c>
      <c r="D122" s="5">
        <v>0</v>
      </c>
      <c r="E122" s="11">
        <v>115.5</v>
      </c>
      <c r="F122" s="5" t="s">
        <v>279</v>
      </c>
      <c r="G122" s="5" t="s">
        <v>19</v>
      </c>
      <c r="H122" s="5" t="e">
        <v>#N/A</v>
      </c>
    </row>
    <row r="123" spans="1:8">
      <c r="A123" t="s">
        <v>127</v>
      </c>
      <c r="B123">
        <v>103</v>
      </c>
      <c r="C123">
        <v>0</v>
      </c>
      <c r="D123">
        <v>0</v>
      </c>
      <c r="E123" s="11">
        <v>44</v>
      </c>
      <c r="F123" t="s">
        <v>278</v>
      </c>
      <c r="G123" t="s">
        <v>19</v>
      </c>
      <c r="H123" t="s">
        <v>13</v>
      </c>
    </row>
    <row r="124" spans="1:8">
      <c r="A124" t="s">
        <v>24</v>
      </c>
      <c r="B124">
        <v>188156</v>
      </c>
      <c r="C124">
        <v>2.9</v>
      </c>
      <c r="D124">
        <v>1</v>
      </c>
      <c r="E124" s="11">
        <v>37</v>
      </c>
      <c r="F124" t="s">
        <v>8</v>
      </c>
      <c r="G124" t="s">
        <v>9</v>
      </c>
      <c r="H124" s="9" t="s">
        <v>13</v>
      </c>
    </row>
    <row r="125" spans="1:8">
      <c r="A125" t="s">
        <v>33</v>
      </c>
      <c r="B125">
        <v>86184</v>
      </c>
      <c r="C125">
        <v>1.3</v>
      </c>
      <c r="D125">
        <v>0</v>
      </c>
      <c r="E125" s="11">
        <v>1.2727272727272729</v>
      </c>
      <c r="F125" t="s">
        <v>11</v>
      </c>
      <c r="G125" t="s">
        <v>12</v>
      </c>
      <c r="H125" t="s">
        <v>13</v>
      </c>
    </row>
    <row r="126" spans="1:8" s="5" customFormat="1">
      <c r="A126" t="s">
        <v>29</v>
      </c>
      <c r="B126">
        <v>103145</v>
      </c>
      <c r="C126">
        <v>1.6</v>
      </c>
      <c r="D126">
        <v>0</v>
      </c>
      <c r="E126" s="11">
        <v>3.8317674562216046</v>
      </c>
      <c r="F126" t="s">
        <v>44</v>
      </c>
      <c r="G126" t="s">
        <v>12</v>
      </c>
      <c r="H126" t="s">
        <v>13</v>
      </c>
    </row>
    <row r="127" spans="1:8" s="5" customFormat="1">
      <c r="A127" s="5" t="s">
        <v>117</v>
      </c>
      <c r="B127" s="5">
        <v>189</v>
      </c>
      <c r="C127" s="5">
        <v>0</v>
      </c>
      <c r="D127" s="5">
        <v>1</v>
      </c>
      <c r="E127" s="11">
        <v>37</v>
      </c>
      <c r="F127" s="5" t="s">
        <v>8</v>
      </c>
      <c r="G127" s="5" t="s">
        <v>19</v>
      </c>
      <c r="H127" s="5" t="e">
        <v>#N/A</v>
      </c>
    </row>
    <row r="128" spans="1:8">
      <c r="A128" t="s">
        <v>43</v>
      </c>
      <c r="B128">
        <v>23209</v>
      </c>
      <c r="C128">
        <v>0.4</v>
      </c>
      <c r="D128">
        <v>0</v>
      </c>
      <c r="E128" s="11">
        <v>3.8317674562216046</v>
      </c>
      <c r="F128" t="s">
        <v>44</v>
      </c>
      <c r="G128" t="s">
        <v>12</v>
      </c>
      <c r="H128" t="s">
        <v>13</v>
      </c>
    </row>
    <row r="129" spans="1:8" s="5" customFormat="1">
      <c r="A129" t="s">
        <v>31</v>
      </c>
      <c r="B129">
        <v>90535</v>
      </c>
      <c r="C129">
        <v>1.4</v>
      </c>
      <c r="D129">
        <v>1</v>
      </c>
      <c r="E129" s="11">
        <v>44.25</v>
      </c>
      <c r="F129" t="s">
        <v>263</v>
      </c>
      <c r="G129" t="s">
        <v>9</v>
      </c>
      <c r="H129" t="s">
        <v>13</v>
      </c>
    </row>
    <row r="130" spans="1:8">
      <c r="A130" t="s">
        <v>48</v>
      </c>
      <c r="B130">
        <v>19815</v>
      </c>
      <c r="C130">
        <v>0.3</v>
      </c>
      <c r="D130">
        <v>1</v>
      </c>
      <c r="E130" s="11">
        <v>45</v>
      </c>
      <c r="F130" t="s">
        <v>265</v>
      </c>
      <c r="G130" t="s">
        <v>17</v>
      </c>
      <c r="H130" t="s">
        <v>13</v>
      </c>
    </row>
    <row r="131" spans="1:8" s="5" customFormat="1">
      <c r="A131" t="s">
        <v>171</v>
      </c>
      <c r="B131">
        <v>6</v>
      </c>
      <c r="C131">
        <v>0</v>
      </c>
      <c r="D131">
        <v>1</v>
      </c>
      <c r="E131" s="11">
        <v>48</v>
      </c>
      <c r="F131" t="s">
        <v>141</v>
      </c>
      <c r="G131" t="s">
        <v>19</v>
      </c>
      <c r="H131" t="s">
        <v>13</v>
      </c>
    </row>
    <row r="132" spans="1:8">
      <c r="A132" s="5" t="s">
        <v>178</v>
      </c>
      <c r="B132" s="5">
        <v>3</v>
      </c>
      <c r="C132" s="5">
        <v>0</v>
      </c>
      <c r="D132" s="5">
        <v>1</v>
      </c>
      <c r="E132" s="11">
        <v>1.27272727272727</v>
      </c>
      <c r="F132" s="5" t="s">
        <v>81</v>
      </c>
      <c r="G132" s="5" t="s">
        <v>19</v>
      </c>
      <c r="H132" s="5" t="e">
        <v>#N/A</v>
      </c>
    </row>
    <row r="133" spans="1:8" s="5" customFormat="1">
      <c r="A133" t="s">
        <v>140</v>
      </c>
      <c r="B133">
        <v>33</v>
      </c>
      <c r="C133">
        <v>0</v>
      </c>
      <c r="D133">
        <v>1</v>
      </c>
      <c r="E133" s="11">
        <v>48</v>
      </c>
      <c r="F133" t="s">
        <v>141</v>
      </c>
      <c r="G133" t="s">
        <v>19</v>
      </c>
      <c r="H133" t="s">
        <v>13</v>
      </c>
    </row>
    <row r="134" spans="1:8" s="5" customFormat="1">
      <c r="A134" t="s">
        <v>30</v>
      </c>
      <c r="B134">
        <v>91649</v>
      </c>
      <c r="C134">
        <v>1.4</v>
      </c>
      <c r="D134">
        <v>1</v>
      </c>
      <c r="E134" s="11">
        <v>14.9833</v>
      </c>
      <c r="F134" t="s">
        <v>268</v>
      </c>
      <c r="G134" t="s">
        <v>17</v>
      </c>
      <c r="H134" t="s">
        <v>13</v>
      </c>
    </row>
    <row r="135" spans="1:8" s="5" customFormat="1">
      <c r="A135" t="s">
        <v>91</v>
      </c>
      <c r="B135">
        <v>939</v>
      </c>
      <c r="C135">
        <v>0</v>
      </c>
      <c r="D135">
        <v>1</v>
      </c>
      <c r="E135" s="11">
        <v>35</v>
      </c>
      <c r="F135" t="s">
        <v>275</v>
      </c>
      <c r="G135" t="s">
        <v>19</v>
      </c>
      <c r="H135" t="s">
        <v>13</v>
      </c>
    </row>
    <row r="136" spans="1:8">
      <c r="A136" s="5" t="s">
        <v>137</v>
      </c>
      <c r="B136" s="5">
        <v>44</v>
      </c>
      <c r="C136" s="5">
        <v>0</v>
      </c>
      <c r="D136" s="5">
        <v>1</v>
      </c>
      <c r="E136" s="11">
        <v>37</v>
      </c>
      <c r="F136" s="5" t="s">
        <v>8</v>
      </c>
      <c r="G136" s="5" t="s">
        <v>19</v>
      </c>
      <c r="H136" s="5" t="e">
        <v>#N/A</v>
      </c>
    </row>
    <row r="137" spans="1:8">
      <c r="A137" s="5" t="s">
        <v>84</v>
      </c>
      <c r="B137" s="5">
        <v>1207</v>
      </c>
      <c r="C137" s="5">
        <v>0</v>
      </c>
      <c r="D137" s="5">
        <v>1</v>
      </c>
      <c r="E137" s="11">
        <v>37</v>
      </c>
      <c r="F137" s="5" t="s">
        <v>8</v>
      </c>
      <c r="G137" s="5" t="s">
        <v>19</v>
      </c>
      <c r="H137" s="5" t="e">
        <v>#N/A</v>
      </c>
    </row>
    <row r="138" spans="1:8">
      <c r="A138" t="s">
        <v>35</v>
      </c>
      <c r="B138">
        <v>52486</v>
      </c>
      <c r="C138">
        <v>0.8</v>
      </c>
      <c r="D138">
        <v>1</v>
      </c>
      <c r="E138" s="11">
        <v>45</v>
      </c>
      <c r="F138" t="s">
        <v>269</v>
      </c>
      <c r="G138" t="s">
        <v>17</v>
      </c>
      <c r="H138" t="s">
        <v>13</v>
      </c>
    </row>
    <row r="139" spans="1:8">
      <c r="A139" s="5" t="s">
        <v>157</v>
      </c>
      <c r="B139" s="5">
        <v>12</v>
      </c>
      <c r="C139" s="5">
        <v>0</v>
      </c>
      <c r="D139" s="5">
        <v>1</v>
      </c>
      <c r="E139" s="11">
        <v>1.2727272727272729</v>
      </c>
      <c r="F139" s="5" t="s">
        <v>81</v>
      </c>
      <c r="G139" s="5" t="s">
        <v>19</v>
      </c>
      <c r="H139" s="5" t="e">
        <v>#N/A</v>
      </c>
    </row>
    <row r="140" spans="1:8">
      <c r="A140" s="5" t="s">
        <v>182</v>
      </c>
      <c r="B140" s="5">
        <v>2</v>
      </c>
      <c r="C140" s="5">
        <v>0</v>
      </c>
      <c r="D140" s="5">
        <v>1</v>
      </c>
      <c r="E140" s="11">
        <v>1.27272727272727</v>
      </c>
      <c r="F140" s="5" t="s">
        <v>81</v>
      </c>
      <c r="G140" s="5" t="s">
        <v>19</v>
      </c>
      <c r="H140" s="5" t="e">
        <v>#N/A</v>
      </c>
    </row>
    <row r="141" spans="1:8">
      <c r="A141" s="5" t="s">
        <v>133</v>
      </c>
      <c r="B141" s="5">
        <v>68</v>
      </c>
      <c r="C141" s="5">
        <v>0</v>
      </c>
      <c r="D141" s="5">
        <v>1</v>
      </c>
      <c r="E141" s="11">
        <v>1.2727272727272729</v>
      </c>
      <c r="F141" s="5" t="s">
        <v>81</v>
      </c>
      <c r="G141" s="5" t="s">
        <v>19</v>
      </c>
      <c r="H141" s="5" t="e">
        <v>#N/A</v>
      </c>
    </row>
    <row r="142" spans="1:8">
      <c r="A142" s="5" t="s">
        <v>173</v>
      </c>
      <c r="B142" s="5">
        <v>4</v>
      </c>
      <c r="C142" s="5">
        <v>0</v>
      </c>
      <c r="D142" s="5">
        <v>1</v>
      </c>
      <c r="E142" s="11">
        <v>1.27272727272727</v>
      </c>
      <c r="F142" s="5" t="s">
        <v>81</v>
      </c>
      <c r="G142" s="5" t="s">
        <v>19</v>
      </c>
      <c r="H142" s="5" t="e">
        <v>#N/A</v>
      </c>
    </row>
    <row r="143" spans="1:8">
      <c r="A143" t="s">
        <v>116</v>
      </c>
      <c r="B143">
        <v>199</v>
      </c>
      <c r="C143">
        <v>0</v>
      </c>
      <c r="D143">
        <v>1</v>
      </c>
      <c r="E143" s="11">
        <v>39</v>
      </c>
      <c r="F143" t="s">
        <v>276</v>
      </c>
      <c r="G143" t="s">
        <v>17</v>
      </c>
      <c r="H143" t="s">
        <v>13</v>
      </c>
    </row>
    <row r="144" spans="1:8" s="5" customFormat="1">
      <c r="A144" s="5" t="s">
        <v>185</v>
      </c>
      <c r="B144" s="5">
        <v>1</v>
      </c>
      <c r="C144" s="5">
        <v>0</v>
      </c>
      <c r="D144" s="5">
        <v>0</v>
      </c>
      <c r="E144" s="11">
        <v>1.27272727272727</v>
      </c>
      <c r="F144" s="5" t="s">
        <v>81</v>
      </c>
      <c r="G144" s="5" t="s">
        <v>19</v>
      </c>
      <c r="H144" s="5" t="e">
        <v>#N/A</v>
      </c>
    </row>
    <row r="145" spans="1:8">
      <c r="A145" s="5" t="s">
        <v>226</v>
      </c>
      <c r="B145" s="5"/>
      <c r="C145" s="5"/>
      <c r="D145" s="5">
        <v>0</v>
      </c>
      <c r="E145" s="11">
        <v>1.27272727272727</v>
      </c>
      <c r="F145" s="5" t="s">
        <v>81</v>
      </c>
      <c r="G145" s="5" t="s">
        <v>19</v>
      </c>
    </row>
    <row r="146" spans="1:8">
      <c r="A146" t="s">
        <v>21</v>
      </c>
      <c r="B146">
        <v>234271</v>
      </c>
      <c r="C146">
        <v>3.6</v>
      </c>
      <c r="D146">
        <v>0</v>
      </c>
      <c r="E146" s="11">
        <v>1.2727272727272729</v>
      </c>
      <c r="F146" t="s">
        <v>11</v>
      </c>
      <c r="G146" t="s">
        <v>12</v>
      </c>
      <c r="H146" s="9" t="s">
        <v>13</v>
      </c>
    </row>
    <row r="147" spans="1:8">
      <c r="A147" t="s">
        <v>56</v>
      </c>
      <c r="B147">
        <v>7166</v>
      </c>
      <c r="C147">
        <v>0.1</v>
      </c>
      <c r="D147">
        <v>0</v>
      </c>
      <c r="E147" s="11">
        <v>2.5833333333333335</v>
      </c>
      <c r="F147" t="s">
        <v>57</v>
      </c>
      <c r="G147" t="s">
        <v>12</v>
      </c>
      <c r="H147" t="s">
        <v>13</v>
      </c>
    </row>
    <row r="148" spans="1:8" s="5" customFormat="1">
      <c r="A148" t="s">
        <v>174</v>
      </c>
      <c r="B148">
        <v>4</v>
      </c>
      <c r="C148">
        <v>0</v>
      </c>
      <c r="D148">
        <v>0</v>
      </c>
      <c r="E148" s="11">
        <v>1.2727272727272729</v>
      </c>
      <c r="F148" t="s">
        <v>11</v>
      </c>
      <c r="G148" t="s">
        <v>12</v>
      </c>
      <c r="H148" t="s">
        <v>13</v>
      </c>
    </row>
    <row r="149" spans="1:8" s="5" customFormat="1">
      <c r="A149" t="s">
        <v>55</v>
      </c>
      <c r="B149">
        <v>8391</v>
      </c>
      <c r="C149">
        <v>0.1</v>
      </c>
      <c r="D149">
        <v>0</v>
      </c>
      <c r="E149" s="11">
        <v>1.27</v>
      </c>
      <c r="F149" t="s">
        <v>11</v>
      </c>
      <c r="G149" t="s">
        <v>12</v>
      </c>
      <c r="H149" t="s">
        <v>13</v>
      </c>
    </row>
    <row r="150" spans="1:8">
      <c r="A150" s="5" t="s">
        <v>163</v>
      </c>
      <c r="B150" s="5">
        <v>9</v>
      </c>
      <c r="C150" s="5">
        <v>0</v>
      </c>
      <c r="D150" s="5">
        <v>0</v>
      </c>
      <c r="E150" s="11">
        <v>39</v>
      </c>
      <c r="F150" s="5" t="s">
        <v>282</v>
      </c>
      <c r="G150" s="5" t="s">
        <v>19</v>
      </c>
      <c r="H150" s="5" t="e">
        <v>#N/A</v>
      </c>
    </row>
    <row r="151" spans="1:8" s="5" customFormat="1">
      <c r="A151" t="s">
        <v>109</v>
      </c>
      <c r="B151">
        <v>253</v>
      </c>
      <c r="C151">
        <v>0</v>
      </c>
      <c r="D151">
        <v>1</v>
      </c>
      <c r="E151" s="11">
        <v>57</v>
      </c>
      <c r="F151" t="s">
        <v>110</v>
      </c>
      <c r="G151" t="s">
        <v>19</v>
      </c>
      <c r="H151" t="s">
        <v>13</v>
      </c>
    </row>
    <row r="152" spans="1:8">
      <c r="A152" t="s">
        <v>107</v>
      </c>
      <c r="B152">
        <v>296</v>
      </c>
      <c r="C152">
        <v>0</v>
      </c>
      <c r="D152">
        <v>1</v>
      </c>
      <c r="E152" s="11">
        <v>39</v>
      </c>
      <c r="F152" t="s">
        <v>282</v>
      </c>
      <c r="G152" t="s">
        <v>19</v>
      </c>
      <c r="H152" t="s">
        <v>13</v>
      </c>
    </row>
    <row r="153" spans="1:8" s="5" customFormat="1">
      <c r="A153" s="5" t="s">
        <v>155</v>
      </c>
      <c r="B153" s="5">
        <v>14</v>
      </c>
      <c r="C153" s="5">
        <v>0</v>
      </c>
      <c r="D153" s="5">
        <v>1</v>
      </c>
      <c r="E153" s="11">
        <v>37</v>
      </c>
      <c r="F153" s="5" t="s">
        <v>8</v>
      </c>
      <c r="G153" s="5" t="s">
        <v>19</v>
      </c>
      <c r="H153" s="5" t="e">
        <v>#N/A</v>
      </c>
    </row>
    <row r="154" spans="1:8">
      <c r="A154" t="s">
        <v>175</v>
      </c>
      <c r="B154">
        <v>4</v>
      </c>
      <c r="C154">
        <v>0</v>
      </c>
      <c r="D154">
        <v>0</v>
      </c>
      <c r="E154" s="11">
        <v>1.2727272727272729</v>
      </c>
      <c r="F154" t="s">
        <v>11</v>
      </c>
      <c r="G154" t="s">
        <v>12</v>
      </c>
      <c r="H154" t="s">
        <v>13</v>
      </c>
    </row>
    <row r="155" spans="1:8" s="5" customFormat="1">
      <c r="A155" t="s">
        <v>118</v>
      </c>
      <c r="B155">
        <v>160</v>
      </c>
      <c r="C155">
        <v>0</v>
      </c>
      <c r="D155">
        <v>0</v>
      </c>
      <c r="E155" s="11">
        <v>1.2727272727272729</v>
      </c>
      <c r="F155" t="s">
        <v>11</v>
      </c>
      <c r="G155" t="s">
        <v>12</v>
      </c>
      <c r="H155" t="s">
        <v>13</v>
      </c>
    </row>
    <row r="156" spans="1:8" s="5" customFormat="1">
      <c r="A156" t="s">
        <v>147</v>
      </c>
      <c r="B156">
        <v>26</v>
      </c>
      <c r="C156">
        <v>0</v>
      </c>
      <c r="D156">
        <v>0</v>
      </c>
      <c r="E156" s="11">
        <v>1.2727272727272729</v>
      </c>
      <c r="F156" t="s">
        <v>11</v>
      </c>
      <c r="G156" t="s">
        <v>12</v>
      </c>
      <c r="H156" t="s">
        <v>13</v>
      </c>
    </row>
    <row r="157" spans="1:8">
      <c r="A157" s="5" t="s">
        <v>159</v>
      </c>
      <c r="B157" s="5">
        <v>11</v>
      </c>
      <c r="C157" s="5">
        <v>0</v>
      </c>
      <c r="D157" s="5">
        <v>1</v>
      </c>
      <c r="E157" s="11">
        <v>69</v>
      </c>
      <c r="F157" s="5" t="s">
        <v>296</v>
      </c>
      <c r="G157" s="5" t="s">
        <v>17</v>
      </c>
      <c r="H157" s="5" t="e">
        <v>#N/A</v>
      </c>
    </row>
  </sheetData>
  <autoFilter ref="A1:H157" xr:uid="{00000000-0001-0000-0000-000000000000}">
    <sortState xmlns:xlrd2="http://schemas.microsoft.com/office/spreadsheetml/2017/richdata2" ref="A2:H157">
      <sortCondition ref="A1:A157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3DD6-2606-430A-8325-26C37E2D1AD1}">
  <dimension ref="A1:H37"/>
  <sheetViews>
    <sheetView workbookViewId="0">
      <selection activeCell="F1" sqref="F1:F1048576"/>
    </sheetView>
  </sheetViews>
  <sheetFormatPr defaultRowHeight="15"/>
  <cols>
    <col min="1" max="1" width="23.5703125" customWidth="1"/>
    <col min="2" max="2" width="61" bestFit="1" customWidth="1"/>
    <col min="3" max="5" width="23.5703125" customWidth="1"/>
    <col min="6" max="6" width="23.5703125" style="13" customWidth="1"/>
    <col min="7" max="7" width="33.85546875" bestFit="1" customWidth="1"/>
  </cols>
  <sheetData>
    <row r="1" spans="1:8">
      <c r="A1" s="1" t="s">
        <v>186</v>
      </c>
      <c r="B1" s="1" t="s">
        <v>187</v>
      </c>
      <c r="C1" s="1" t="s">
        <v>188</v>
      </c>
      <c r="D1" s="1" t="s">
        <v>2</v>
      </c>
      <c r="E1" s="1" t="s">
        <v>3</v>
      </c>
      <c r="F1" s="12" t="s">
        <v>4</v>
      </c>
      <c r="G1" s="1" t="s">
        <v>6</v>
      </c>
      <c r="H1" s="1" t="s">
        <v>298</v>
      </c>
    </row>
    <row r="2" spans="1:8">
      <c r="A2">
        <v>38004446</v>
      </c>
      <c r="B2" t="s">
        <v>189</v>
      </c>
      <c r="C2">
        <v>75129123</v>
      </c>
      <c r="D2">
        <v>34.6</v>
      </c>
      <c r="E2">
        <v>1</v>
      </c>
      <c r="F2" s="13">
        <v>37</v>
      </c>
      <c r="G2" t="s">
        <v>9</v>
      </c>
    </row>
    <row r="3" spans="1:8">
      <c r="A3">
        <v>38004376</v>
      </c>
      <c r="B3" t="s">
        <v>190</v>
      </c>
      <c r="C3">
        <v>22533231</v>
      </c>
      <c r="D3">
        <v>10.4</v>
      </c>
      <c r="E3">
        <v>1</v>
      </c>
      <c r="F3" s="13">
        <v>37</v>
      </c>
      <c r="G3" t="s">
        <v>17</v>
      </c>
    </row>
    <row r="4" spans="1:8">
      <c r="A4">
        <v>38004185</v>
      </c>
      <c r="B4" t="s">
        <v>191</v>
      </c>
      <c r="C4">
        <v>21758095</v>
      </c>
      <c r="D4">
        <v>10</v>
      </c>
      <c r="E4">
        <v>0</v>
      </c>
      <c r="F4" s="13">
        <v>1.9176683134106718</v>
      </c>
      <c r="G4" t="s">
        <v>12</v>
      </c>
    </row>
    <row r="5" spans="1:8">
      <c r="A5">
        <v>38004154</v>
      </c>
      <c r="B5" t="s">
        <v>192</v>
      </c>
      <c r="C5">
        <v>20545581</v>
      </c>
      <c r="D5">
        <v>9.5</v>
      </c>
      <c r="E5">
        <v>0</v>
      </c>
      <c r="F5" s="13">
        <v>1.2727272727272729</v>
      </c>
      <c r="G5" t="s">
        <v>12</v>
      </c>
    </row>
    <row r="6" spans="1:8">
      <c r="A6">
        <v>38003781</v>
      </c>
      <c r="B6" t="s">
        <v>193</v>
      </c>
      <c r="C6">
        <v>13479137</v>
      </c>
      <c r="D6">
        <v>6.2</v>
      </c>
      <c r="E6">
        <v>0</v>
      </c>
      <c r="F6" s="13">
        <v>3.232455559966477</v>
      </c>
      <c r="G6" t="s">
        <v>12</v>
      </c>
    </row>
    <row r="7" spans="1:8">
      <c r="A7">
        <v>38004370</v>
      </c>
      <c r="B7" t="s">
        <v>194</v>
      </c>
      <c r="C7">
        <v>12035276</v>
      </c>
      <c r="D7">
        <v>5.5</v>
      </c>
      <c r="E7">
        <v>1</v>
      </c>
      <c r="F7" s="13">
        <v>10.0749</v>
      </c>
      <c r="G7" t="s">
        <v>19</v>
      </c>
    </row>
    <row r="8" spans="1:8">
      <c r="A8">
        <v>38004512</v>
      </c>
      <c r="B8" t="s">
        <v>122</v>
      </c>
      <c r="C8">
        <v>10384582</v>
      </c>
      <c r="D8">
        <v>4.8</v>
      </c>
      <c r="E8">
        <v>1</v>
      </c>
      <c r="F8" s="13">
        <v>10.002856071633365</v>
      </c>
      <c r="G8" t="s">
        <v>19</v>
      </c>
    </row>
    <row r="9" spans="1:8">
      <c r="A9">
        <v>0</v>
      </c>
      <c r="B9" t="s">
        <v>195</v>
      </c>
      <c r="C9">
        <v>7770988</v>
      </c>
      <c r="D9">
        <v>3.6</v>
      </c>
      <c r="E9">
        <v>0</v>
      </c>
      <c r="F9" s="13">
        <v>41.248211915969272</v>
      </c>
      <c r="G9" s="9" t="s">
        <v>196</v>
      </c>
    </row>
    <row r="10" spans="1:8">
      <c r="A10">
        <v>38003722</v>
      </c>
      <c r="B10" t="s">
        <v>197</v>
      </c>
      <c r="C10">
        <v>5993112</v>
      </c>
      <c r="D10">
        <v>2.8</v>
      </c>
      <c r="E10">
        <v>1</v>
      </c>
      <c r="F10" s="13">
        <v>12.121600000000001</v>
      </c>
      <c r="G10" t="s">
        <v>17</v>
      </c>
    </row>
    <row r="11" spans="1:8">
      <c r="A11">
        <v>38003789</v>
      </c>
      <c r="B11" t="s">
        <v>198</v>
      </c>
      <c r="C11">
        <v>4920205</v>
      </c>
      <c r="D11">
        <v>2.2999999999999998</v>
      </c>
      <c r="E11">
        <v>1</v>
      </c>
      <c r="F11" s="13">
        <v>18.136363636363637</v>
      </c>
      <c r="G11" t="s">
        <v>19</v>
      </c>
    </row>
    <row r="12" spans="1:8">
      <c r="A12">
        <v>38004390</v>
      </c>
      <c r="B12" t="s">
        <v>199</v>
      </c>
      <c r="C12">
        <v>4582025</v>
      </c>
      <c r="D12">
        <v>2.1</v>
      </c>
      <c r="E12">
        <v>1</v>
      </c>
      <c r="F12" s="13">
        <v>14.9833</v>
      </c>
      <c r="G12" t="s">
        <v>17</v>
      </c>
    </row>
    <row r="13" spans="1:8">
      <c r="A13">
        <v>38003716</v>
      </c>
      <c r="B13" t="s">
        <v>200</v>
      </c>
      <c r="C13">
        <v>4324999</v>
      </c>
      <c r="D13">
        <v>2</v>
      </c>
      <c r="E13">
        <v>1</v>
      </c>
      <c r="F13" s="13">
        <v>45</v>
      </c>
      <c r="G13" t="s">
        <v>17</v>
      </c>
    </row>
    <row r="14" spans="1:8">
      <c r="A14">
        <v>38004169</v>
      </c>
      <c r="B14" t="s">
        <v>201</v>
      </c>
      <c r="C14">
        <v>3793072</v>
      </c>
      <c r="D14">
        <v>1.7</v>
      </c>
      <c r="E14">
        <v>0</v>
      </c>
      <c r="F14" s="13">
        <v>22.636363636363637</v>
      </c>
      <c r="G14" t="s">
        <v>12</v>
      </c>
    </row>
    <row r="15" spans="1:8">
      <c r="A15">
        <v>38003731</v>
      </c>
      <c r="B15" t="s">
        <v>202</v>
      </c>
      <c r="C15">
        <v>1669293</v>
      </c>
      <c r="D15">
        <v>0.8</v>
      </c>
      <c r="E15">
        <v>1</v>
      </c>
      <c r="F15" s="13">
        <v>39.666666666666664</v>
      </c>
      <c r="G15" t="s">
        <v>17</v>
      </c>
    </row>
    <row r="16" spans="1:8">
      <c r="A16">
        <v>38004145</v>
      </c>
      <c r="B16" t="s">
        <v>37</v>
      </c>
      <c r="C16">
        <v>1591129</v>
      </c>
      <c r="D16">
        <v>0.7</v>
      </c>
      <c r="E16">
        <v>1</v>
      </c>
      <c r="F16" s="13">
        <v>1.9029597282872392</v>
      </c>
      <c r="G16" t="s">
        <v>19</v>
      </c>
    </row>
    <row r="17" spans="1:7">
      <c r="A17">
        <v>38003819</v>
      </c>
      <c r="B17" t="s">
        <v>203</v>
      </c>
      <c r="C17">
        <v>1036413</v>
      </c>
      <c r="D17">
        <v>0.5</v>
      </c>
      <c r="E17">
        <v>1</v>
      </c>
      <c r="F17" s="13">
        <v>3.7257399320718099</v>
      </c>
      <c r="G17" t="s">
        <v>19</v>
      </c>
    </row>
    <row r="18" spans="1:7">
      <c r="A18">
        <v>38004487</v>
      </c>
      <c r="B18" t="s">
        <v>204</v>
      </c>
      <c r="C18">
        <v>880078</v>
      </c>
      <c r="D18">
        <v>0.4</v>
      </c>
      <c r="E18">
        <v>1</v>
      </c>
      <c r="F18" s="13">
        <v>12.12</v>
      </c>
      <c r="G18" t="s">
        <v>17</v>
      </c>
    </row>
    <row r="19" spans="1:7">
      <c r="A19">
        <v>38003810</v>
      </c>
      <c r="B19" t="s">
        <v>40</v>
      </c>
      <c r="C19">
        <v>852723</v>
      </c>
      <c r="D19">
        <v>0.4</v>
      </c>
      <c r="E19">
        <v>1</v>
      </c>
      <c r="F19" s="13">
        <v>1.6486259979709761</v>
      </c>
      <c r="G19" t="s">
        <v>19</v>
      </c>
    </row>
    <row r="20" spans="1:7">
      <c r="A20">
        <v>38004153</v>
      </c>
      <c r="B20" t="s">
        <v>205</v>
      </c>
      <c r="C20">
        <v>666980</v>
      </c>
      <c r="D20">
        <v>0.3</v>
      </c>
      <c r="E20">
        <v>0</v>
      </c>
      <c r="F20" s="13">
        <v>1.9946627850557981</v>
      </c>
      <c r="G20" t="s">
        <v>12</v>
      </c>
    </row>
    <row r="21" spans="1:7">
      <c r="A21">
        <v>38003794</v>
      </c>
      <c r="B21" t="s">
        <v>206</v>
      </c>
      <c r="C21">
        <v>168390</v>
      </c>
      <c r="D21">
        <v>0.1</v>
      </c>
      <c r="E21">
        <v>1</v>
      </c>
      <c r="F21" s="13">
        <v>28.326666666666668</v>
      </c>
      <c r="G21" t="s">
        <v>19</v>
      </c>
    </row>
    <row r="22" spans="1:7">
      <c r="A22">
        <v>38004371</v>
      </c>
      <c r="B22" t="s">
        <v>207</v>
      </c>
      <c r="C22">
        <v>144488</v>
      </c>
      <c r="D22">
        <v>0.1</v>
      </c>
      <c r="E22">
        <v>1</v>
      </c>
      <c r="F22" s="13">
        <v>0.95147986414361962</v>
      </c>
      <c r="G22" t="s">
        <v>19</v>
      </c>
    </row>
    <row r="23" spans="1:7">
      <c r="A23">
        <v>38004056</v>
      </c>
      <c r="B23" t="s">
        <v>208</v>
      </c>
      <c r="C23">
        <v>82422</v>
      </c>
      <c r="D23">
        <v>0</v>
      </c>
      <c r="E23">
        <v>1</v>
      </c>
      <c r="F23" s="13">
        <v>44</v>
      </c>
      <c r="G23" t="s">
        <v>19</v>
      </c>
    </row>
    <row r="24" spans="1:7">
      <c r="A24">
        <v>38003696</v>
      </c>
      <c r="B24" t="s">
        <v>85</v>
      </c>
      <c r="C24">
        <v>76156</v>
      </c>
      <c r="D24">
        <v>0</v>
      </c>
      <c r="E24">
        <v>1</v>
      </c>
      <c r="F24" s="13">
        <v>26.25</v>
      </c>
      <c r="G24" t="s">
        <v>19</v>
      </c>
    </row>
    <row r="25" spans="1:7">
      <c r="A25">
        <v>38004030</v>
      </c>
      <c r="B25" t="s">
        <v>209</v>
      </c>
      <c r="C25">
        <v>71883</v>
      </c>
      <c r="D25">
        <v>0</v>
      </c>
      <c r="E25">
        <v>1</v>
      </c>
      <c r="F25" s="13">
        <v>44</v>
      </c>
      <c r="G25" t="s">
        <v>19</v>
      </c>
    </row>
    <row r="26" spans="1:7">
      <c r="A26">
        <v>38004445</v>
      </c>
      <c r="B26" t="s">
        <v>210</v>
      </c>
      <c r="C26">
        <v>57510</v>
      </c>
      <c r="D26">
        <v>0</v>
      </c>
      <c r="E26">
        <v>0</v>
      </c>
      <c r="F26" s="13">
        <v>1.2727272727272729</v>
      </c>
      <c r="G26" t="s">
        <v>12</v>
      </c>
    </row>
    <row r="27" spans="1:7">
      <c r="A27">
        <v>38003627</v>
      </c>
      <c r="B27" t="s">
        <v>211</v>
      </c>
      <c r="C27">
        <v>35316</v>
      </c>
      <c r="D27">
        <v>0</v>
      </c>
      <c r="E27">
        <v>1</v>
      </c>
      <c r="F27" s="13">
        <v>44</v>
      </c>
      <c r="G27" t="s">
        <v>19</v>
      </c>
    </row>
    <row r="28" spans="1:7">
      <c r="A28">
        <v>38003690</v>
      </c>
      <c r="B28" t="s">
        <v>212</v>
      </c>
      <c r="C28">
        <v>32590</v>
      </c>
      <c r="D28">
        <v>0</v>
      </c>
      <c r="E28">
        <v>1</v>
      </c>
      <c r="F28" s="13">
        <v>43</v>
      </c>
      <c r="G28" t="s">
        <v>19</v>
      </c>
    </row>
    <row r="29" spans="1:7">
      <c r="A29">
        <v>38004413</v>
      </c>
      <c r="B29" t="s">
        <v>213</v>
      </c>
      <c r="C29">
        <v>28733</v>
      </c>
      <c r="D29">
        <v>0</v>
      </c>
      <c r="E29">
        <v>1</v>
      </c>
      <c r="F29" s="13">
        <v>14.98</v>
      </c>
      <c r="G29" t="s">
        <v>17</v>
      </c>
    </row>
    <row r="30" spans="1:7">
      <c r="A30">
        <v>38003807</v>
      </c>
      <c r="B30" t="s">
        <v>146</v>
      </c>
      <c r="C30">
        <v>8924</v>
      </c>
      <c r="D30">
        <v>0</v>
      </c>
      <c r="E30">
        <v>1</v>
      </c>
      <c r="F30" s="13">
        <v>35</v>
      </c>
      <c r="G30" t="s">
        <v>19</v>
      </c>
    </row>
    <row r="31" spans="1:7">
      <c r="A31">
        <v>38003659</v>
      </c>
      <c r="B31" t="s">
        <v>214</v>
      </c>
      <c r="C31">
        <v>7883</v>
      </c>
      <c r="D31">
        <v>0</v>
      </c>
      <c r="E31">
        <v>1</v>
      </c>
      <c r="F31" s="13">
        <v>57</v>
      </c>
      <c r="G31" t="s">
        <v>19</v>
      </c>
    </row>
    <row r="32" spans="1:7">
      <c r="A32">
        <v>38004176</v>
      </c>
      <c r="B32" t="s">
        <v>215</v>
      </c>
      <c r="C32">
        <v>3098</v>
      </c>
      <c r="D32">
        <v>0</v>
      </c>
      <c r="E32">
        <v>1</v>
      </c>
      <c r="F32" s="13">
        <v>1.9946627850557981</v>
      </c>
      <c r="G32" t="s">
        <v>19</v>
      </c>
    </row>
    <row r="33" spans="1:7">
      <c r="A33">
        <v>38003638</v>
      </c>
      <c r="B33" t="s">
        <v>216</v>
      </c>
      <c r="C33">
        <v>1375</v>
      </c>
      <c r="D33">
        <v>0</v>
      </c>
      <c r="E33">
        <v>1</v>
      </c>
      <c r="F33" s="13">
        <v>51.5</v>
      </c>
      <c r="G33" t="s">
        <v>19</v>
      </c>
    </row>
    <row r="34" spans="1:7">
      <c r="A34">
        <v>38003760</v>
      </c>
      <c r="B34" t="s">
        <v>217</v>
      </c>
      <c r="C34">
        <v>576</v>
      </c>
      <c r="D34">
        <v>0</v>
      </c>
      <c r="E34">
        <v>1</v>
      </c>
      <c r="F34" s="13">
        <v>19.196153846153848</v>
      </c>
      <c r="G34" t="s">
        <v>17</v>
      </c>
    </row>
    <row r="35" spans="1:7">
      <c r="A35">
        <v>38003625</v>
      </c>
      <c r="B35" t="s">
        <v>218</v>
      </c>
      <c r="C35">
        <v>479</v>
      </c>
      <c r="D35">
        <v>0</v>
      </c>
      <c r="E35">
        <v>1</v>
      </c>
      <c r="F35" s="13">
        <v>5.6666666666666661</v>
      </c>
      <c r="G35" t="s">
        <v>19</v>
      </c>
    </row>
    <row r="36" spans="1:7">
      <c r="A36">
        <v>38004499</v>
      </c>
      <c r="B36" t="s">
        <v>140</v>
      </c>
      <c r="C36">
        <v>403</v>
      </c>
      <c r="D36">
        <v>0</v>
      </c>
      <c r="E36">
        <v>1</v>
      </c>
      <c r="F36" s="13">
        <v>48</v>
      </c>
      <c r="G36" t="s">
        <v>19</v>
      </c>
    </row>
    <row r="37" spans="1:7">
      <c r="A37">
        <v>38003648</v>
      </c>
      <c r="B37" t="s">
        <v>219</v>
      </c>
      <c r="C37">
        <v>33</v>
      </c>
      <c r="D37">
        <v>0</v>
      </c>
      <c r="E37">
        <v>0</v>
      </c>
      <c r="F37" s="13">
        <v>1.27272727272727</v>
      </c>
      <c r="G37" t="s">
        <v>19</v>
      </c>
    </row>
  </sheetData>
  <autoFilter ref="A1:G37" xr:uid="{5FF83DD6-2606-430A-8325-26C37E2D1AD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1928-6488-4AD1-B22F-BC295F5F938E}">
  <dimension ref="A1:G157"/>
  <sheetViews>
    <sheetView tabSelected="1" zoomScale="120" zoomScaleNormal="120" workbookViewId="0">
      <selection activeCell="D1" activeCellId="1" sqref="A1:B1048576 D1:E1048576"/>
    </sheetView>
  </sheetViews>
  <sheetFormatPr defaultRowHeight="15"/>
  <cols>
    <col min="1" max="1" width="45.28515625" customWidth="1"/>
    <col min="2" max="2" width="22.85546875" style="13" customWidth="1"/>
    <col min="3" max="3" width="20.140625" customWidth="1"/>
    <col min="4" max="4" width="60" style="4" customWidth="1"/>
    <col min="5" max="5" width="24" style="13" customWidth="1"/>
    <col min="6" max="6" width="19.7109375" customWidth="1"/>
  </cols>
  <sheetData>
    <row r="1" spans="1:7">
      <c r="A1" s="1" t="s">
        <v>220</v>
      </c>
      <c r="B1" s="12" t="s">
        <v>221</v>
      </c>
      <c r="C1" s="1" t="s">
        <v>222</v>
      </c>
      <c r="D1" s="3" t="s">
        <v>187</v>
      </c>
      <c r="E1" s="12" t="s">
        <v>223</v>
      </c>
      <c r="F1" s="8" t="s">
        <v>5</v>
      </c>
    </row>
    <row r="2" spans="1:7">
      <c r="A2" t="s">
        <v>126</v>
      </c>
      <c r="B2" s="13">
        <v>0.95</v>
      </c>
      <c r="C2">
        <v>0</v>
      </c>
      <c r="D2" t="s">
        <v>195</v>
      </c>
      <c r="E2" s="13">
        <v>41.248211915969272</v>
      </c>
      <c r="F2" t="s">
        <v>225</v>
      </c>
      <c r="G2" s="2"/>
    </row>
    <row r="3" spans="1:7">
      <c r="A3" t="s">
        <v>36</v>
      </c>
      <c r="B3" s="13">
        <v>0.95147986414361962</v>
      </c>
      <c r="C3">
        <v>38003819</v>
      </c>
      <c r="D3" t="s">
        <v>203</v>
      </c>
      <c r="E3" s="13">
        <v>3.7257399320718099</v>
      </c>
      <c r="F3" t="s">
        <v>225</v>
      </c>
    </row>
    <row r="4" spans="1:7">
      <c r="A4" t="s">
        <v>22</v>
      </c>
      <c r="B4" s="13">
        <v>0.95147986414361962</v>
      </c>
      <c r="C4">
        <v>38004512</v>
      </c>
      <c r="D4" t="s">
        <v>122</v>
      </c>
      <c r="E4" s="13">
        <v>10.002856071633365</v>
      </c>
      <c r="F4" t="s">
        <v>225</v>
      </c>
    </row>
    <row r="5" spans="1:7">
      <c r="A5" t="s">
        <v>122</v>
      </c>
      <c r="B5" s="13">
        <v>0.95147986414361962</v>
      </c>
      <c r="C5">
        <v>38004512</v>
      </c>
      <c r="D5" t="s">
        <v>122</v>
      </c>
      <c r="E5" s="13">
        <v>10.002856071633365</v>
      </c>
      <c r="F5" t="s">
        <v>225</v>
      </c>
      <c r="G5" s="2"/>
    </row>
    <row r="6" spans="1:7">
      <c r="A6" t="s">
        <v>63</v>
      </c>
      <c r="B6" s="13">
        <v>0.95147986414361962</v>
      </c>
      <c r="C6">
        <v>38004371</v>
      </c>
      <c r="D6" t="s">
        <v>207</v>
      </c>
      <c r="E6" s="13">
        <f>B6</f>
        <v>0.95147986414361962</v>
      </c>
      <c r="F6" t="s">
        <v>224</v>
      </c>
      <c r="G6" s="2"/>
    </row>
    <row r="7" spans="1:7">
      <c r="A7" t="s">
        <v>124</v>
      </c>
      <c r="B7" s="13">
        <v>1.08</v>
      </c>
      <c r="C7">
        <v>0</v>
      </c>
      <c r="D7" t="s">
        <v>195</v>
      </c>
      <c r="E7" s="13">
        <v>41.248211915969272</v>
      </c>
      <c r="F7" t="s">
        <v>225</v>
      </c>
    </row>
    <row r="8" spans="1:7">
      <c r="A8" t="s">
        <v>79</v>
      </c>
      <c r="B8" s="13">
        <v>1.1084645582462176</v>
      </c>
      <c r="C8">
        <v>0</v>
      </c>
      <c r="D8" t="s">
        <v>195</v>
      </c>
      <c r="E8" s="13">
        <v>41.248211915969272</v>
      </c>
      <c r="F8" t="s">
        <v>225</v>
      </c>
    </row>
    <row r="9" spans="1:7">
      <c r="A9" t="s">
        <v>90</v>
      </c>
      <c r="B9" s="13">
        <v>1.1084645582462176</v>
      </c>
      <c r="C9">
        <v>0</v>
      </c>
      <c r="D9" t="s">
        <v>195</v>
      </c>
      <c r="E9" s="13">
        <v>41.248211915969272</v>
      </c>
      <c r="F9" t="s">
        <v>225</v>
      </c>
      <c r="G9" s="2"/>
    </row>
    <row r="10" spans="1:7">
      <c r="A10" t="s">
        <v>64</v>
      </c>
      <c r="B10" s="13">
        <v>1.1084645582462176</v>
      </c>
      <c r="C10">
        <v>38004512</v>
      </c>
      <c r="D10" t="s">
        <v>122</v>
      </c>
      <c r="E10" s="13">
        <v>10.002856071633365</v>
      </c>
      <c r="F10" t="s">
        <v>225</v>
      </c>
    </row>
    <row r="11" spans="1:7">
      <c r="A11" t="s">
        <v>54</v>
      </c>
      <c r="B11" s="13">
        <v>1.27</v>
      </c>
      <c r="C11">
        <v>0</v>
      </c>
      <c r="D11" t="s">
        <v>195</v>
      </c>
      <c r="E11" s="13">
        <v>41.248211915969272</v>
      </c>
      <c r="F11" t="s">
        <v>225</v>
      </c>
    </row>
    <row r="12" spans="1:7">
      <c r="A12" t="s">
        <v>67</v>
      </c>
      <c r="B12" s="13">
        <v>1.27</v>
      </c>
      <c r="C12">
        <v>0</v>
      </c>
      <c r="D12" t="s">
        <v>195</v>
      </c>
      <c r="E12" s="13">
        <v>41.248211915969272</v>
      </c>
      <c r="F12" t="s">
        <v>225</v>
      </c>
    </row>
    <row r="13" spans="1:7">
      <c r="A13" t="s">
        <v>66</v>
      </c>
      <c r="B13" s="13">
        <v>1.27</v>
      </c>
      <c r="C13">
        <v>0</v>
      </c>
      <c r="D13" t="s">
        <v>195</v>
      </c>
      <c r="E13" s="13">
        <v>41.248211915969272</v>
      </c>
      <c r="F13" t="s">
        <v>225</v>
      </c>
    </row>
    <row r="14" spans="1:7">
      <c r="A14" t="s">
        <v>55</v>
      </c>
      <c r="B14" s="13">
        <v>1.27</v>
      </c>
      <c r="C14">
        <v>0</v>
      </c>
      <c r="D14" t="s">
        <v>195</v>
      </c>
      <c r="E14" s="13">
        <v>41.248211915969272</v>
      </c>
      <c r="F14" t="s">
        <v>225</v>
      </c>
      <c r="G14" s="2"/>
    </row>
    <row r="15" spans="1:7">
      <c r="A15" t="s">
        <v>226</v>
      </c>
      <c r="B15" s="13">
        <v>1.27272727272727</v>
      </c>
      <c r="C15">
        <v>38003648</v>
      </c>
      <c r="D15" t="s">
        <v>219</v>
      </c>
      <c r="E15" s="13">
        <v>1.27272727272727</v>
      </c>
      <c r="F15" t="s">
        <v>224</v>
      </c>
      <c r="G15" s="2"/>
    </row>
    <row r="16" spans="1:7">
      <c r="A16" t="s">
        <v>180</v>
      </c>
      <c r="B16" s="13">
        <v>1.27272727272727</v>
      </c>
      <c r="C16">
        <v>0</v>
      </c>
      <c r="D16" t="s">
        <v>195</v>
      </c>
      <c r="E16" s="13">
        <v>41.248211915969272</v>
      </c>
      <c r="F16" t="s">
        <v>225</v>
      </c>
      <c r="G16" s="2"/>
    </row>
    <row r="17" spans="1:7">
      <c r="A17" t="s">
        <v>177</v>
      </c>
      <c r="B17" s="13">
        <v>1.27272727272727</v>
      </c>
      <c r="C17">
        <v>0</v>
      </c>
      <c r="D17" t="s">
        <v>195</v>
      </c>
      <c r="E17" s="13">
        <v>41.248211915969272</v>
      </c>
      <c r="F17" t="s">
        <v>225</v>
      </c>
      <c r="G17" s="2"/>
    </row>
    <row r="18" spans="1:7">
      <c r="A18" t="s">
        <v>178</v>
      </c>
      <c r="B18" s="13">
        <v>1.27272727272727</v>
      </c>
      <c r="C18">
        <v>0</v>
      </c>
      <c r="D18" t="s">
        <v>195</v>
      </c>
      <c r="E18" s="13">
        <v>41.248211915969272</v>
      </c>
      <c r="F18" t="s">
        <v>225</v>
      </c>
      <c r="G18" s="2"/>
    </row>
    <row r="19" spans="1:7">
      <c r="A19" t="s">
        <v>182</v>
      </c>
      <c r="B19" s="13">
        <v>1.27272727272727</v>
      </c>
      <c r="C19">
        <v>0</v>
      </c>
      <c r="D19" t="s">
        <v>195</v>
      </c>
      <c r="E19" s="13">
        <v>41.248211915969272</v>
      </c>
      <c r="F19" t="s">
        <v>225</v>
      </c>
    </row>
    <row r="20" spans="1:7">
      <c r="A20" t="s">
        <v>173</v>
      </c>
      <c r="B20" s="13">
        <v>1.27272727272727</v>
      </c>
      <c r="C20">
        <v>0</v>
      </c>
      <c r="D20" t="s">
        <v>195</v>
      </c>
      <c r="E20" s="13">
        <v>41.248211915969272</v>
      </c>
      <c r="F20" t="s">
        <v>225</v>
      </c>
    </row>
    <row r="21" spans="1:7">
      <c r="A21" t="s">
        <v>185</v>
      </c>
      <c r="B21" s="13">
        <v>1.27272727272727</v>
      </c>
      <c r="C21">
        <v>0</v>
      </c>
      <c r="D21" t="s">
        <v>195</v>
      </c>
      <c r="E21" s="13">
        <v>41.248211915969272</v>
      </c>
      <c r="F21" t="s">
        <v>225</v>
      </c>
    </row>
    <row r="22" spans="1:7">
      <c r="A22" t="s">
        <v>25</v>
      </c>
      <c r="B22" s="13">
        <v>1.2727272727272729</v>
      </c>
      <c r="C22">
        <v>38003789</v>
      </c>
      <c r="D22" t="s">
        <v>198</v>
      </c>
      <c r="E22" s="13">
        <v>18.136363636363637</v>
      </c>
      <c r="F22" t="s">
        <v>225</v>
      </c>
    </row>
    <row r="23" spans="1:7">
      <c r="A23" t="s">
        <v>28</v>
      </c>
      <c r="B23" s="13">
        <v>1.2727272727272729</v>
      </c>
      <c r="C23">
        <v>38004169</v>
      </c>
      <c r="D23" t="s">
        <v>201</v>
      </c>
      <c r="E23" s="13">
        <v>22.636363636363637</v>
      </c>
      <c r="F23" t="s">
        <v>225</v>
      </c>
    </row>
    <row r="24" spans="1:7">
      <c r="A24" t="s">
        <v>176</v>
      </c>
      <c r="B24" s="13">
        <v>1.2727272727272729</v>
      </c>
      <c r="C24">
        <v>0</v>
      </c>
      <c r="D24" t="s">
        <v>195</v>
      </c>
      <c r="E24" s="13">
        <v>41.248211915969272</v>
      </c>
      <c r="F24" t="s">
        <v>225</v>
      </c>
    </row>
    <row r="25" spans="1:7">
      <c r="A25" t="s">
        <v>152</v>
      </c>
      <c r="B25" s="13">
        <v>1.2727272727272729</v>
      </c>
      <c r="C25">
        <v>0</v>
      </c>
      <c r="D25" t="s">
        <v>195</v>
      </c>
      <c r="E25" s="13">
        <v>41.248211915969272</v>
      </c>
      <c r="F25" t="s">
        <v>225</v>
      </c>
    </row>
    <row r="26" spans="1:7">
      <c r="A26" t="s">
        <v>105</v>
      </c>
      <c r="B26" s="13">
        <v>1.2727272727272729</v>
      </c>
      <c r="C26">
        <v>0</v>
      </c>
      <c r="D26" t="s">
        <v>195</v>
      </c>
      <c r="E26" s="13">
        <v>41.248211915969272</v>
      </c>
      <c r="F26" t="s">
        <v>225</v>
      </c>
    </row>
    <row r="27" spans="1:7">
      <c r="A27" t="s">
        <v>77</v>
      </c>
      <c r="B27" s="13">
        <v>1.2727272727272729</v>
      </c>
      <c r="C27">
        <v>0</v>
      </c>
      <c r="D27" t="s">
        <v>195</v>
      </c>
      <c r="E27" s="13">
        <v>41.248211915969272</v>
      </c>
      <c r="F27" t="s">
        <v>225</v>
      </c>
    </row>
    <row r="28" spans="1:7">
      <c r="A28" t="s">
        <v>112</v>
      </c>
      <c r="B28" s="13">
        <v>1.2727272727272729</v>
      </c>
      <c r="C28">
        <v>0</v>
      </c>
      <c r="D28" t="s">
        <v>195</v>
      </c>
      <c r="E28" s="13">
        <v>41.248211915969272</v>
      </c>
      <c r="F28" t="s">
        <v>225</v>
      </c>
    </row>
    <row r="29" spans="1:7">
      <c r="A29" t="s">
        <v>72</v>
      </c>
      <c r="B29" s="13">
        <v>1.2727272727272729</v>
      </c>
      <c r="C29">
        <v>0</v>
      </c>
      <c r="D29" t="s">
        <v>195</v>
      </c>
      <c r="E29" s="13">
        <v>41.248211915969272</v>
      </c>
      <c r="F29" t="s">
        <v>225</v>
      </c>
    </row>
    <row r="30" spans="1:7">
      <c r="A30" t="s">
        <v>162</v>
      </c>
      <c r="B30" s="13">
        <v>1.2727272727272729</v>
      </c>
      <c r="C30">
        <v>0</v>
      </c>
      <c r="D30" t="s">
        <v>195</v>
      </c>
      <c r="E30" s="13">
        <v>41.248211915969272</v>
      </c>
      <c r="F30" t="s">
        <v>225</v>
      </c>
    </row>
    <row r="31" spans="1:7">
      <c r="A31" t="s">
        <v>75</v>
      </c>
      <c r="B31" s="13">
        <v>1.2727272727272729</v>
      </c>
      <c r="C31">
        <v>0</v>
      </c>
      <c r="D31" t="s">
        <v>195</v>
      </c>
      <c r="E31" s="13">
        <v>41.248211915969272</v>
      </c>
      <c r="F31" t="s">
        <v>225</v>
      </c>
    </row>
    <row r="32" spans="1:7">
      <c r="A32" t="s">
        <v>73</v>
      </c>
      <c r="B32" s="13">
        <v>1.2727272727272729</v>
      </c>
      <c r="C32">
        <v>0</v>
      </c>
      <c r="D32" t="s">
        <v>195</v>
      </c>
      <c r="E32" s="13">
        <v>41.248211915969272</v>
      </c>
      <c r="F32" t="s">
        <v>225</v>
      </c>
    </row>
    <row r="33" spans="1:6">
      <c r="A33" t="s">
        <v>78</v>
      </c>
      <c r="B33" s="13">
        <v>1.2727272727272729</v>
      </c>
      <c r="C33">
        <v>0</v>
      </c>
      <c r="D33" t="s">
        <v>195</v>
      </c>
      <c r="E33" s="13">
        <v>41.248211915969272</v>
      </c>
      <c r="F33" t="s">
        <v>225</v>
      </c>
    </row>
    <row r="34" spans="1:6">
      <c r="A34" t="s">
        <v>87</v>
      </c>
      <c r="B34" s="13">
        <v>1.2727272727272729</v>
      </c>
      <c r="C34">
        <v>0</v>
      </c>
      <c r="D34" t="s">
        <v>195</v>
      </c>
      <c r="E34" s="13">
        <v>41.248211915969272</v>
      </c>
      <c r="F34" t="s">
        <v>225</v>
      </c>
    </row>
    <row r="35" spans="1:6">
      <c r="A35" t="s">
        <v>83</v>
      </c>
      <c r="B35" s="13">
        <v>1.2727272727272729</v>
      </c>
      <c r="C35">
        <v>0</v>
      </c>
      <c r="D35" t="s">
        <v>195</v>
      </c>
      <c r="E35" s="13">
        <v>41.248211915969272</v>
      </c>
      <c r="F35" t="s">
        <v>225</v>
      </c>
    </row>
    <row r="36" spans="1:6">
      <c r="A36" t="s">
        <v>62</v>
      </c>
      <c r="B36" s="13">
        <v>1.2727272727272729</v>
      </c>
      <c r="C36">
        <v>0</v>
      </c>
      <c r="D36" t="s">
        <v>195</v>
      </c>
      <c r="E36" s="13">
        <v>41.248211915969272</v>
      </c>
      <c r="F36" t="s">
        <v>225</v>
      </c>
    </row>
    <row r="37" spans="1:6">
      <c r="A37" t="s">
        <v>114</v>
      </c>
      <c r="B37" s="13">
        <v>1.2727272727272729</v>
      </c>
      <c r="C37">
        <v>0</v>
      </c>
      <c r="D37" t="s">
        <v>195</v>
      </c>
      <c r="E37" s="13">
        <v>41.248211915969272</v>
      </c>
      <c r="F37" t="s">
        <v>225</v>
      </c>
    </row>
    <row r="38" spans="1:6">
      <c r="A38" t="s">
        <v>157</v>
      </c>
      <c r="B38" s="13">
        <v>1.2727272727272729</v>
      </c>
      <c r="C38">
        <v>0</v>
      </c>
      <c r="D38" t="s">
        <v>195</v>
      </c>
      <c r="E38" s="13">
        <v>41.248211915969272</v>
      </c>
      <c r="F38" t="s">
        <v>225</v>
      </c>
    </row>
    <row r="39" spans="1:6">
      <c r="A39" t="s">
        <v>133</v>
      </c>
      <c r="B39" s="13">
        <v>1.2727272727272729</v>
      </c>
      <c r="C39">
        <v>0</v>
      </c>
      <c r="D39" t="s">
        <v>195</v>
      </c>
      <c r="E39" s="13">
        <v>41.248211915969272</v>
      </c>
      <c r="F39" t="s">
        <v>225</v>
      </c>
    </row>
    <row r="40" spans="1:6">
      <c r="A40" t="s">
        <v>174</v>
      </c>
      <c r="B40" s="13">
        <v>1.2727272727272729</v>
      </c>
      <c r="C40">
        <v>0</v>
      </c>
      <c r="D40" t="s">
        <v>195</v>
      </c>
      <c r="E40" s="13">
        <v>41.248211915969272</v>
      </c>
      <c r="F40" t="s">
        <v>225</v>
      </c>
    </row>
    <row r="41" spans="1:6">
      <c r="A41" t="s">
        <v>175</v>
      </c>
      <c r="B41" s="13">
        <v>1.2727272727272729</v>
      </c>
      <c r="C41">
        <v>0</v>
      </c>
      <c r="D41" t="s">
        <v>195</v>
      </c>
      <c r="E41" s="13">
        <v>41.248211915969272</v>
      </c>
      <c r="F41" t="s">
        <v>225</v>
      </c>
    </row>
    <row r="42" spans="1:6">
      <c r="A42" t="s">
        <v>118</v>
      </c>
      <c r="B42" s="13">
        <v>1.2727272727272729</v>
      </c>
      <c r="C42">
        <v>0</v>
      </c>
      <c r="D42" t="s">
        <v>195</v>
      </c>
      <c r="E42" s="13">
        <v>41.248211915969272</v>
      </c>
      <c r="F42" t="s">
        <v>225</v>
      </c>
    </row>
    <row r="43" spans="1:6">
      <c r="A43" t="s">
        <v>147</v>
      </c>
      <c r="B43" s="13">
        <v>1.2727272727272729</v>
      </c>
      <c r="C43">
        <v>0</v>
      </c>
      <c r="D43" t="s">
        <v>195</v>
      </c>
      <c r="E43" s="13">
        <v>41.248211915969272</v>
      </c>
      <c r="F43" t="s">
        <v>225</v>
      </c>
    </row>
    <row r="44" spans="1:6">
      <c r="A44" t="s">
        <v>61</v>
      </c>
      <c r="B44" s="13">
        <v>1.2727272727272729</v>
      </c>
      <c r="C44">
        <v>38004185</v>
      </c>
      <c r="D44" t="s">
        <v>191</v>
      </c>
      <c r="E44" s="13">
        <v>1.9176683134106718</v>
      </c>
      <c r="F44" t="s">
        <v>225</v>
      </c>
    </row>
    <row r="45" spans="1:6">
      <c r="A45" t="s">
        <v>58</v>
      </c>
      <c r="B45" s="13">
        <v>1.2727272727272729</v>
      </c>
      <c r="C45">
        <v>38004185</v>
      </c>
      <c r="D45" t="s">
        <v>191</v>
      </c>
      <c r="E45" s="13">
        <v>1.9176683134106718</v>
      </c>
      <c r="F45" t="s">
        <v>225</v>
      </c>
    </row>
    <row r="46" spans="1:6">
      <c r="A46" t="s">
        <v>10</v>
      </c>
      <c r="B46" s="13">
        <v>1.2727272727272729</v>
      </c>
      <c r="C46">
        <v>38004185</v>
      </c>
      <c r="D46" t="s">
        <v>191</v>
      </c>
      <c r="E46" s="13">
        <v>1.9176683134106718</v>
      </c>
      <c r="F46" t="s">
        <v>225</v>
      </c>
    </row>
    <row r="47" spans="1:6">
      <c r="A47" t="s">
        <v>33</v>
      </c>
      <c r="B47" s="13">
        <v>1.2727272727272729</v>
      </c>
      <c r="C47">
        <v>38004185</v>
      </c>
      <c r="D47" t="s">
        <v>191</v>
      </c>
      <c r="E47" s="13">
        <v>1.9176683134106718</v>
      </c>
      <c r="F47" t="s">
        <v>225</v>
      </c>
    </row>
    <row r="48" spans="1:6">
      <c r="A48" t="s">
        <v>20</v>
      </c>
      <c r="B48" s="13">
        <v>1.2727272727272729</v>
      </c>
      <c r="C48">
        <v>38004154</v>
      </c>
      <c r="D48" t="s">
        <v>192</v>
      </c>
      <c r="E48" s="13">
        <v>1.2727272727272729</v>
      </c>
      <c r="F48" t="s">
        <v>225</v>
      </c>
    </row>
    <row r="49" spans="1:6">
      <c r="A49" t="s">
        <v>70</v>
      </c>
      <c r="B49" s="13">
        <v>1.2727272727272729</v>
      </c>
      <c r="C49">
        <v>38004154</v>
      </c>
      <c r="D49" t="s">
        <v>192</v>
      </c>
      <c r="E49" s="13">
        <v>1.2727272727272729</v>
      </c>
      <c r="F49" t="s">
        <v>225</v>
      </c>
    </row>
    <row r="50" spans="1:6">
      <c r="A50" t="s">
        <v>59</v>
      </c>
      <c r="B50" s="13">
        <v>1.2727272727272729</v>
      </c>
      <c r="C50">
        <v>38004154</v>
      </c>
      <c r="D50" t="s">
        <v>192</v>
      </c>
      <c r="E50" s="13">
        <v>1.2727272727272729</v>
      </c>
      <c r="F50" t="s">
        <v>225</v>
      </c>
    </row>
    <row r="51" spans="1:6">
      <c r="A51" t="s">
        <v>32</v>
      </c>
      <c r="B51" s="13">
        <v>1.2727272727272729</v>
      </c>
      <c r="C51">
        <v>38004154</v>
      </c>
      <c r="D51" t="s">
        <v>192</v>
      </c>
      <c r="E51" s="13">
        <v>1.2727272727272729</v>
      </c>
      <c r="F51" t="s">
        <v>225</v>
      </c>
    </row>
    <row r="52" spans="1:6">
      <c r="A52" t="s">
        <v>21</v>
      </c>
      <c r="B52" s="13">
        <v>1.2727272727272729</v>
      </c>
      <c r="C52">
        <v>38004154</v>
      </c>
      <c r="D52" t="s">
        <v>192</v>
      </c>
      <c r="E52" s="13">
        <v>1.2727272727272729</v>
      </c>
      <c r="F52" t="s">
        <v>225</v>
      </c>
    </row>
    <row r="53" spans="1:6">
      <c r="A53" t="s">
        <v>80</v>
      </c>
      <c r="B53" s="13">
        <v>1.2727272727272729</v>
      </c>
      <c r="C53">
        <v>38004445</v>
      </c>
      <c r="D53" t="s">
        <v>210</v>
      </c>
      <c r="E53" s="13">
        <f>B53</f>
        <v>1.2727272727272729</v>
      </c>
      <c r="F53" t="s">
        <v>224</v>
      </c>
    </row>
    <row r="54" spans="1:6">
      <c r="A54" t="s">
        <v>40</v>
      </c>
      <c r="B54" s="13">
        <v>1.6486259979709761</v>
      </c>
      <c r="C54">
        <v>38003810</v>
      </c>
      <c r="D54" t="s">
        <v>40</v>
      </c>
      <c r="E54" s="13">
        <f>B54</f>
        <v>1.6486259979709761</v>
      </c>
      <c r="F54" t="s">
        <v>224</v>
      </c>
    </row>
    <row r="55" spans="1:6">
      <c r="A55" t="s">
        <v>37</v>
      </c>
      <c r="B55" s="13">
        <v>1.9029597282872392</v>
      </c>
      <c r="C55">
        <v>38004145</v>
      </c>
      <c r="D55" t="s">
        <v>37</v>
      </c>
      <c r="E55" s="13">
        <f>B55</f>
        <v>1.9029597282872392</v>
      </c>
      <c r="F55" t="s">
        <v>224</v>
      </c>
    </row>
    <row r="56" spans="1:6">
      <c r="A56" t="s">
        <v>45</v>
      </c>
      <c r="B56" s="13">
        <v>1.9946627850557981</v>
      </c>
      <c r="C56">
        <v>38004153</v>
      </c>
      <c r="D56" t="s">
        <v>205</v>
      </c>
      <c r="E56" s="13">
        <f>B56</f>
        <v>1.9946627850557981</v>
      </c>
      <c r="F56" t="s">
        <v>224</v>
      </c>
    </row>
    <row r="57" spans="1:6">
      <c r="A57" t="s">
        <v>125</v>
      </c>
      <c r="B57" s="13">
        <v>1.9946627850557981</v>
      </c>
      <c r="C57">
        <v>38004176</v>
      </c>
      <c r="D57" t="s">
        <v>215</v>
      </c>
      <c r="E57" s="13">
        <f>B57</f>
        <v>1.9946627850557981</v>
      </c>
      <c r="F57" t="s">
        <v>224</v>
      </c>
    </row>
    <row r="58" spans="1:6">
      <c r="A58" t="s">
        <v>52</v>
      </c>
      <c r="B58" s="13">
        <v>2.2402628909179128</v>
      </c>
      <c r="C58">
        <v>0</v>
      </c>
      <c r="D58" t="s">
        <v>195</v>
      </c>
      <c r="E58" s="13">
        <v>41.248211915969272</v>
      </c>
      <c r="F58" t="s">
        <v>225</v>
      </c>
    </row>
    <row r="59" spans="1:6">
      <c r="A59" t="s">
        <v>56</v>
      </c>
      <c r="B59" s="13">
        <v>2.5833333333333335</v>
      </c>
      <c r="C59">
        <v>38004185</v>
      </c>
      <c r="D59" t="s">
        <v>191</v>
      </c>
      <c r="E59" s="13">
        <v>1.9176683134106718</v>
      </c>
      <c r="F59" t="s">
        <v>225</v>
      </c>
    </row>
    <row r="60" spans="1:6">
      <c r="A60" t="s">
        <v>14</v>
      </c>
      <c r="B60" s="13">
        <v>2.6331436637113494</v>
      </c>
      <c r="C60">
        <v>38003781</v>
      </c>
      <c r="D60" t="s">
        <v>193</v>
      </c>
      <c r="E60" s="13">
        <v>3.232455559966477</v>
      </c>
      <c r="F60" t="s">
        <v>225</v>
      </c>
    </row>
    <row r="61" spans="1:6">
      <c r="A61" t="s">
        <v>43</v>
      </c>
      <c r="B61" s="13">
        <v>3.8317674562216046</v>
      </c>
      <c r="C61">
        <v>38003781</v>
      </c>
      <c r="D61" t="s">
        <v>193</v>
      </c>
      <c r="E61" s="13">
        <v>3.232455559966477</v>
      </c>
      <c r="F61" t="s">
        <v>225</v>
      </c>
    </row>
    <row r="62" spans="1:6">
      <c r="A62" t="s">
        <v>29</v>
      </c>
      <c r="B62" s="13">
        <v>3.8317674562216046</v>
      </c>
      <c r="C62">
        <v>38004185</v>
      </c>
      <c r="D62" t="s">
        <v>191</v>
      </c>
      <c r="E62" s="13">
        <v>1.9176683134106718</v>
      </c>
      <c r="F62" t="s">
        <v>225</v>
      </c>
    </row>
    <row r="63" spans="1:6">
      <c r="A63" t="s">
        <v>160</v>
      </c>
      <c r="B63" s="13">
        <v>5.6666666666666661</v>
      </c>
      <c r="C63">
        <v>38003625</v>
      </c>
      <c r="D63" t="s">
        <v>218</v>
      </c>
      <c r="E63" s="13">
        <f>B63</f>
        <v>5.6666666666666661</v>
      </c>
      <c r="F63" t="s">
        <v>224</v>
      </c>
    </row>
    <row r="64" spans="1:6">
      <c r="A64" t="s">
        <v>113</v>
      </c>
      <c r="B64" s="13">
        <v>5.6666666666666661</v>
      </c>
      <c r="C64">
        <v>0</v>
      </c>
      <c r="D64" t="s">
        <v>195</v>
      </c>
      <c r="E64" s="13">
        <v>41.248211915969272</v>
      </c>
      <c r="F64" t="s">
        <v>225</v>
      </c>
    </row>
    <row r="65" spans="1:6">
      <c r="A65" t="s">
        <v>60</v>
      </c>
      <c r="B65" s="13">
        <v>6.5</v>
      </c>
      <c r="C65">
        <v>38003819</v>
      </c>
      <c r="D65" t="s">
        <v>203</v>
      </c>
      <c r="E65" s="13">
        <v>3.7257399320718099</v>
      </c>
      <c r="F65" t="s">
        <v>225</v>
      </c>
    </row>
    <row r="66" spans="1:6">
      <c r="A66" t="s">
        <v>18</v>
      </c>
      <c r="B66" s="13">
        <v>10.0749</v>
      </c>
      <c r="C66">
        <v>38004370</v>
      </c>
      <c r="D66" t="s">
        <v>194</v>
      </c>
      <c r="E66" s="13">
        <f>B66</f>
        <v>10.0749</v>
      </c>
      <c r="F66" t="s">
        <v>224</v>
      </c>
    </row>
    <row r="67" spans="1:6">
      <c r="A67" t="s">
        <v>49</v>
      </c>
      <c r="B67" s="13">
        <v>12.12</v>
      </c>
      <c r="C67">
        <v>38004487</v>
      </c>
      <c r="D67" t="s">
        <v>204</v>
      </c>
      <c r="E67" s="13">
        <f>B67</f>
        <v>12.12</v>
      </c>
      <c r="F67" t="s">
        <v>224</v>
      </c>
    </row>
    <row r="68" spans="1:6">
      <c r="A68" t="s">
        <v>26</v>
      </c>
      <c r="B68" s="13">
        <v>12.121600000000001</v>
      </c>
      <c r="C68">
        <v>38003722</v>
      </c>
      <c r="D68" t="s">
        <v>197</v>
      </c>
      <c r="E68" s="13">
        <f>B68</f>
        <v>12.121600000000001</v>
      </c>
      <c r="F68" t="s">
        <v>224</v>
      </c>
    </row>
    <row r="69" spans="1:6">
      <c r="A69" t="s">
        <v>99</v>
      </c>
      <c r="B69" s="13">
        <v>14.98</v>
      </c>
      <c r="C69">
        <v>38004413</v>
      </c>
      <c r="D69" t="s">
        <v>213</v>
      </c>
      <c r="E69" s="13">
        <f>B69</f>
        <v>14.98</v>
      </c>
      <c r="F69" t="s">
        <v>224</v>
      </c>
    </row>
    <row r="70" spans="1:6">
      <c r="A70" t="s">
        <v>74</v>
      </c>
      <c r="B70" s="13">
        <v>14.98</v>
      </c>
      <c r="C70">
        <v>38003794</v>
      </c>
      <c r="D70" t="s">
        <v>206</v>
      </c>
      <c r="E70" s="13">
        <v>28.326666666666668</v>
      </c>
      <c r="F70" t="s">
        <v>225</v>
      </c>
    </row>
    <row r="71" spans="1:6">
      <c r="A71" t="s">
        <v>30</v>
      </c>
      <c r="B71" s="13">
        <v>14.9833</v>
      </c>
      <c r="C71">
        <v>38004390</v>
      </c>
      <c r="D71" t="s">
        <v>199</v>
      </c>
      <c r="E71" s="13">
        <f>B71</f>
        <v>14.9833</v>
      </c>
      <c r="F71" t="s">
        <v>224</v>
      </c>
    </row>
    <row r="72" spans="1:6">
      <c r="A72" t="s">
        <v>166</v>
      </c>
      <c r="B72" s="13">
        <v>19.196153846153848</v>
      </c>
      <c r="C72">
        <v>38003760</v>
      </c>
      <c r="D72" t="s">
        <v>217</v>
      </c>
      <c r="E72" s="13">
        <f>B72</f>
        <v>19.196153846153848</v>
      </c>
      <c r="F72" t="s">
        <v>224</v>
      </c>
    </row>
    <row r="73" spans="1:6">
      <c r="A73" t="s">
        <v>85</v>
      </c>
      <c r="B73" s="13">
        <v>23.5</v>
      </c>
      <c r="C73">
        <v>38003696</v>
      </c>
      <c r="D73" t="s">
        <v>85</v>
      </c>
      <c r="E73" s="13">
        <v>26.25</v>
      </c>
      <c r="F73" t="s">
        <v>225</v>
      </c>
    </row>
    <row r="74" spans="1:6">
      <c r="A74" t="s">
        <v>86</v>
      </c>
      <c r="B74" s="13">
        <v>29</v>
      </c>
      <c r="C74">
        <v>38003696</v>
      </c>
      <c r="D74" t="s">
        <v>85</v>
      </c>
      <c r="E74" s="13">
        <v>26.25</v>
      </c>
      <c r="F74" t="s">
        <v>225</v>
      </c>
    </row>
    <row r="75" spans="1:6">
      <c r="A75" t="s">
        <v>76</v>
      </c>
      <c r="B75" s="13">
        <v>35</v>
      </c>
      <c r="C75">
        <v>38003789</v>
      </c>
      <c r="D75" t="s">
        <v>198</v>
      </c>
      <c r="E75" s="13">
        <v>18.136363636363637</v>
      </c>
      <c r="F75" t="s">
        <v>225</v>
      </c>
    </row>
    <row r="76" spans="1:6">
      <c r="A76" t="s">
        <v>146</v>
      </c>
      <c r="B76" s="13">
        <v>35</v>
      </c>
      <c r="C76">
        <v>38003807</v>
      </c>
      <c r="D76" t="s">
        <v>146</v>
      </c>
      <c r="E76" s="13">
        <f>B76</f>
        <v>35</v>
      </c>
      <c r="F76" t="s">
        <v>224</v>
      </c>
    </row>
    <row r="77" spans="1:6">
      <c r="A77" t="s">
        <v>93</v>
      </c>
      <c r="B77" s="13">
        <v>35</v>
      </c>
      <c r="C77">
        <v>38003731</v>
      </c>
      <c r="D77" t="s">
        <v>202</v>
      </c>
      <c r="E77" s="13">
        <v>39.666666666666664</v>
      </c>
      <c r="F77" t="s">
        <v>225</v>
      </c>
    </row>
    <row r="78" spans="1:6">
      <c r="A78" t="s">
        <v>89</v>
      </c>
      <c r="B78" s="13">
        <v>35</v>
      </c>
      <c r="C78">
        <v>38003794</v>
      </c>
      <c r="D78" t="s">
        <v>206</v>
      </c>
      <c r="E78" s="13">
        <v>28.326666666666668</v>
      </c>
      <c r="F78" t="s">
        <v>225</v>
      </c>
    </row>
    <row r="79" spans="1:6">
      <c r="A79" t="s">
        <v>91</v>
      </c>
      <c r="B79" s="13">
        <v>35</v>
      </c>
      <c r="C79">
        <v>38003794</v>
      </c>
      <c r="D79" t="s">
        <v>206</v>
      </c>
      <c r="E79" s="13">
        <v>28.326666666666668</v>
      </c>
      <c r="F79" t="s">
        <v>225</v>
      </c>
    </row>
    <row r="80" spans="1:6">
      <c r="A80" t="s">
        <v>16</v>
      </c>
      <c r="B80" s="13">
        <v>37</v>
      </c>
      <c r="C80">
        <v>38004376</v>
      </c>
      <c r="D80" t="s">
        <v>190</v>
      </c>
      <c r="E80" s="13">
        <f>B80</f>
        <v>37</v>
      </c>
      <c r="F80" t="s">
        <v>224</v>
      </c>
    </row>
    <row r="81" spans="1:6">
      <c r="A81" t="s">
        <v>7</v>
      </c>
      <c r="B81" s="13">
        <v>37</v>
      </c>
      <c r="C81">
        <v>38004446</v>
      </c>
      <c r="D81" t="s">
        <v>189</v>
      </c>
      <c r="E81" s="13">
        <v>37</v>
      </c>
      <c r="F81" t="s">
        <v>225</v>
      </c>
    </row>
    <row r="82" spans="1:6">
      <c r="A82" t="s">
        <v>24</v>
      </c>
      <c r="B82" s="13">
        <v>37</v>
      </c>
      <c r="C82">
        <v>38004446</v>
      </c>
      <c r="D82" t="s">
        <v>189</v>
      </c>
      <c r="E82" s="13">
        <v>37</v>
      </c>
      <c r="F82" t="s">
        <v>225</v>
      </c>
    </row>
    <row r="83" spans="1:6">
      <c r="A83" t="s">
        <v>98</v>
      </c>
      <c r="B83" s="13">
        <v>37</v>
      </c>
      <c r="C83">
        <v>0</v>
      </c>
      <c r="D83" t="s">
        <v>195</v>
      </c>
      <c r="E83" s="13">
        <v>41.248211915969272</v>
      </c>
      <c r="F83" t="s">
        <v>225</v>
      </c>
    </row>
    <row r="84" spans="1:6">
      <c r="A84" t="s">
        <v>111</v>
      </c>
      <c r="B84" s="13">
        <v>37</v>
      </c>
      <c r="C84">
        <v>0</v>
      </c>
      <c r="D84" t="s">
        <v>195</v>
      </c>
      <c r="E84" s="13">
        <v>41.248211915969272</v>
      </c>
      <c r="F84" t="s">
        <v>225</v>
      </c>
    </row>
    <row r="85" spans="1:6">
      <c r="A85" t="s">
        <v>94</v>
      </c>
      <c r="B85" s="13">
        <v>37</v>
      </c>
      <c r="C85">
        <v>0</v>
      </c>
      <c r="D85" t="s">
        <v>195</v>
      </c>
      <c r="E85" s="13">
        <v>41.248211915969272</v>
      </c>
      <c r="F85" t="s">
        <v>225</v>
      </c>
    </row>
    <row r="86" spans="1:6">
      <c r="A86" t="s">
        <v>138</v>
      </c>
      <c r="B86" s="13">
        <v>37</v>
      </c>
      <c r="C86">
        <v>0</v>
      </c>
      <c r="D86" t="s">
        <v>195</v>
      </c>
      <c r="E86" s="13">
        <v>41.248211915969272</v>
      </c>
      <c r="F86" t="s">
        <v>225</v>
      </c>
    </row>
    <row r="87" spans="1:6">
      <c r="A87" t="s">
        <v>71</v>
      </c>
      <c r="B87" s="13">
        <v>37</v>
      </c>
      <c r="C87">
        <v>0</v>
      </c>
      <c r="D87" t="s">
        <v>195</v>
      </c>
      <c r="E87" s="13">
        <v>41.248211915969272</v>
      </c>
      <c r="F87" t="s">
        <v>225</v>
      </c>
    </row>
    <row r="88" spans="1:6">
      <c r="A88" t="s">
        <v>117</v>
      </c>
      <c r="B88" s="13">
        <v>37</v>
      </c>
      <c r="C88">
        <v>0</v>
      </c>
      <c r="D88" t="s">
        <v>195</v>
      </c>
      <c r="E88" s="13">
        <v>41.248211915969272</v>
      </c>
      <c r="F88" t="s">
        <v>225</v>
      </c>
    </row>
    <row r="89" spans="1:6">
      <c r="A89" t="s">
        <v>137</v>
      </c>
      <c r="B89" s="13">
        <v>37</v>
      </c>
      <c r="C89">
        <v>0</v>
      </c>
      <c r="D89" t="s">
        <v>195</v>
      </c>
      <c r="E89" s="13">
        <v>41.248211915969272</v>
      </c>
      <c r="F89" t="s">
        <v>225</v>
      </c>
    </row>
    <row r="90" spans="1:6">
      <c r="A90" t="s">
        <v>84</v>
      </c>
      <c r="B90" s="13">
        <v>37</v>
      </c>
      <c r="C90">
        <v>0</v>
      </c>
      <c r="D90" t="s">
        <v>195</v>
      </c>
      <c r="E90" s="13">
        <v>41.248211915969272</v>
      </c>
      <c r="F90" t="s">
        <v>225</v>
      </c>
    </row>
    <row r="91" spans="1:6">
      <c r="A91" t="s">
        <v>155</v>
      </c>
      <c r="B91" s="13">
        <v>37</v>
      </c>
      <c r="C91">
        <v>0</v>
      </c>
      <c r="D91" t="s">
        <v>195</v>
      </c>
      <c r="E91" s="13">
        <v>41.248211915969272</v>
      </c>
      <c r="F91" t="s">
        <v>225</v>
      </c>
    </row>
    <row r="92" spans="1:6">
      <c r="A92" t="s">
        <v>47</v>
      </c>
      <c r="B92" s="13">
        <v>37</v>
      </c>
      <c r="C92">
        <v>38004512</v>
      </c>
      <c r="D92" t="s">
        <v>122</v>
      </c>
      <c r="E92" s="13">
        <v>10.002856071633365</v>
      </c>
      <c r="F92" t="s">
        <v>225</v>
      </c>
    </row>
    <row r="93" spans="1:6">
      <c r="A93" t="s">
        <v>92</v>
      </c>
      <c r="B93" s="13">
        <v>39</v>
      </c>
      <c r="C93">
        <v>0</v>
      </c>
      <c r="D93" t="s">
        <v>195</v>
      </c>
      <c r="E93" s="13">
        <v>41.248211915969272</v>
      </c>
      <c r="F93" t="s">
        <v>225</v>
      </c>
    </row>
    <row r="94" spans="1:6">
      <c r="A94" t="s">
        <v>116</v>
      </c>
      <c r="B94" s="13">
        <v>39</v>
      </c>
      <c r="C94">
        <v>0</v>
      </c>
      <c r="D94" t="s">
        <v>195</v>
      </c>
      <c r="E94" s="13">
        <v>41.248211915969272</v>
      </c>
      <c r="F94" t="s">
        <v>225</v>
      </c>
    </row>
    <row r="95" spans="1:6">
      <c r="A95" t="s">
        <v>163</v>
      </c>
      <c r="B95" s="13">
        <v>39</v>
      </c>
      <c r="C95">
        <v>0</v>
      </c>
      <c r="D95" t="s">
        <v>195</v>
      </c>
      <c r="E95" s="13">
        <v>41.248211915969272</v>
      </c>
      <c r="F95" t="s">
        <v>225</v>
      </c>
    </row>
    <row r="96" spans="1:6">
      <c r="A96" t="s">
        <v>107</v>
      </c>
      <c r="B96" s="13">
        <v>39</v>
      </c>
      <c r="C96">
        <v>0</v>
      </c>
      <c r="D96" t="s">
        <v>195</v>
      </c>
      <c r="E96" s="13">
        <v>41.248211915969272</v>
      </c>
      <c r="F96" t="s">
        <v>225</v>
      </c>
    </row>
    <row r="97" spans="1:6">
      <c r="A97" t="s">
        <v>50</v>
      </c>
      <c r="B97" s="13">
        <v>39</v>
      </c>
      <c r="C97">
        <v>38003731</v>
      </c>
      <c r="D97" t="s">
        <v>202</v>
      </c>
      <c r="E97" s="13">
        <v>39.666666666666664</v>
      </c>
      <c r="F97" t="s">
        <v>225</v>
      </c>
    </row>
    <row r="98" spans="1:6">
      <c r="A98" t="s">
        <v>115</v>
      </c>
      <c r="B98" s="13">
        <v>43</v>
      </c>
      <c r="C98">
        <v>0</v>
      </c>
      <c r="D98" t="s">
        <v>195</v>
      </c>
      <c r="E98" s="13">
        <v>41.248211915969272</v>
      </c>
      <c r="F98" t="s">
        <v>225</v>
      </c>
    </row>
    <row r="99" spans="1:6">
      <c r="A99" t="s">
        <v>96</v>
      </c>
      <c r="B99" s="13">
        <v>43</v>
      </c>
      <c r="C99">
        <v>38003690</v>
      </c>
      <c r="D99" t="s">
        <v>212</v>
      </c>
      <c r="E99" s="13">
        <f>B99</f>
        <v>43</v>
      </c>
      <c r="F99" t="s">
        <v>224</v>
      </c>
    </row>
    <row r="100" spans="1:6">
      <c r="A100" t="s">
        <v>101</v>
      </c>
      <c r="B100" s="13">
        <v>44</v>
      </c>
      <c r="C100">
        <v>38004169</v>
      </c>
      <c r="D100" t="s">
        <v>201</v>
      </c>
      <c r="E100" s="13">
        <v>22.636363636363637</v>
      </c>
      <c r="F100" t="s">
        <v>225</v>
      </c>
    </row>
    <row r="101" spans="1:6">
      <c r="A101" t="s">
        <v>149</v>
      </c>
      <c r="B101" s="13">
        <v>44</v>
      </c>
      <c r="C101">
        <v>0</v>
      </c>
      <c r="D101" t="s">
        <v>195</v>
      </c>
      <c r="E101" s="13">
        <v>41.248211915969272</v>
      </c>
      <c r="F101" t="s">
        <v>225</v>
      </c>
    </row>
    <row r="102" spans="1:6">
      <c r="A102" t="s">
        <v>172</v>
      </c>
      <c r="B102" s="13">
        <v>44</v>
      </c>
      <c r="C102">
        <v>0</v>
      </c>
      <c r="D102" t="s">
        <v>195</v>
      </c>
      <c r="E102" s="13">
        <v>41.248211915969272</v>
      </c>
      <c r="F102" t="s">
        <v>225</v>
      </c>
    </row>
    <row r="103" spans="1:6">
      <c r="A103" t="s">
        <v>145</v>
      </c>
      <c r="B103" s="13">
        <v>44</v>
      </c>
      <c r="C103">
        <v>0</v>
      </c>
      <c r="D103" t="s">
        <v>195</v>
      </c>
      <c r="E103" s="13">
        <v>41.248211915969272</v>
      </c>
      <c r="F103" t="s">
        <v>225</v>
      </c>
    </row>
    <row r="104" spans="1:6">
      <c r="A104" t="s">
        <v>144</v>
      </c>
      <c r="B104" s="13">
        <v>44</v>
      </c>
      <c r="C104">
        <v>0</v>
      </c>
      <c r="D104" t="s">
        <v>195</v>
      </c>
      <c r="E104" s="13">
        <v>41.248211915969272</v>
      </c>
      <c r="F104" t="s">
        <v>225</v>
      </c>
    </row>
    <row r="105" spans="1:6">
      <c r="A105" t="s">
        <v>102</v>
      </c>
      <c r="B105" s="13">
        <v>44</v>
      </c>
      <c r="C105">
        <v>0</v>
      </c>
      <c r="D105" t="s">
        <v>195</v>
      </c>
      <c r="E105" s="13">
        <v>41.248211915969272</v>
      </c>
      <c r="F105" t="s">
        <v>225</v>
      </c>
    </row>
    <row r="106" spans="1:6">
      <c r="A106" t="s">
        <v>170</v>
      </c>
      <c r="B106" s="13">
        <v>44</v>
      </c>
      <c r="C106">
        <v>0</v>
      </c>
      <c r="D106" t="s">
        <v>195</v>
      </c>
      <c r="E106" s="13">
        <v>41.248211915969272</v>
      </c>
      <c r="F106" t="s">
        <v>225</v>
      </c>
    </row>
    <row r="107" spans="1:6">
      <c r="A107" t="s">
        <v>108</v>
      </c>
      <c r="B107" s="13">
        <v>44</v>
      </c>
      <c r="C107">
        <v>0</v>
      </c>
      <c r="D107" t="s">
        <v>195</v>
      </c>
      <c r="E107" s="13">
        <v>41.248211915969272</v>
      </c>
      <c r="F107" t="s">
        <v>225</v>
      </c>
    </row>
    <row r="108" spans="1:6">
      <c r="A108" t="s">
        <v>127</v>
      </c>
      <c r="B108" s="13">
        <v>44</v>
      </c>
      <c r="C108">
        <v>0</v>
      </c>
      <c r="D108" t="s">
        <v>195</v>
      </c>
      <c r="E108" s="13">
        <v>41.248211915969272</v>
      </c>
      <c r="F108" t="s">
        <v>225</v>
      </c>
    </row>
    <row r="109" spans="1:6">
      <c r="A109" t="s">
        <v>68</v>
      </c>
      <c r="B109" s="13">
        <v>44</v>
      </c>
      <c r="C109">
        <v>38004056</v>
      </c>
      <c r="D109" t="s">
        <v>208</v>
      </c>
      <c r="E109" s="13">
        <f>B109</f>
        <v>44</v>
      </c>
      <c r="F109" t="s">
        <v>224</v>
      </c>
    </row>
    <row r="110" spans="1:6">
      <c r="A110" t="s">
        <v>88</v>
      </c>
      <c r="B110" s="13">
        <v>44</v>
      </c>
      <c r="C110">
        <v>38004030</v>
      </c>
      <c r="D110" t="s">
        <v>209</v>
      </c>
      <c r="E110" s="13">
        <f>B110</f>
        <v>44</v>
      </c>
      <c r="F110" t="s">
        <v>224</v>
      </c>
    </row>
    <row r="111" spans="1:6">
      <c r="A111" t="s">
        <v>82</v>
      </c>
      <c r="B111" s="13">
        <v>44</v>
      </c>
      <c r="C111">
        <v>38003627</v>
      </c>
      <c r="D111" t="s">
        <v>211</v>
      </c>
      <c r="E111" s="13">
        <f>B111</f>
        <v>44</v>
      </c>
      <c r="F111" t="s">
        <v>224</v>
      </c>
    </row>
    <row r="112" spans="1:6">
      <c r="A112" t="s">
        <v>42</v>
      </c>
      <c r="B112" s="13">
        <v>44.25</v>
      </c>
      <c r="C112">
        <v>0</v>
      </c>
      <c r="D112" t="s">
        <v>195</v>
      </c>
      <c r="E112" s="13">
        <v>41.248211915969272</v>
      </c>
      <c r="F112" t="s">
        <v>225</v>
      </c>
    </row>
    <row r="113" spans="1:7">
      <c r="A113" t="s">
        <v>34</v>
      </c>
      <c r="B113" s="13">
        <v>44.25</v>
      </c>
      <c r="C113">
        <v>0</v>
      </c>
      <c r="D113" t="s">
        <v>195</v>
      </c>
      <c r="E113" s="13">
        <v>41.248211915969272</v>
      </c>
      <c r="F113" t="s">
        <v>225</v>
      </c>
    </row>
    <row r="114" spans="1:7">
      <c r="A114" t="s">
        <v>39</v>
      </c>
      <c r="B114" s="13">
        <v>44.25</v>
      </c>
      <c r="C114">
        <v>0</v>
      </c>
      <c r="D114" t="s">
        <v>195</v>
      </c>
      <c r="E114" s="13">
        <v>41.248211915969272</v>
      </c>
      <c r="F114" t="s">
        <v>225</v>
      </c>
    </row>
    <row r="115" spans="1:7">
      <c r="A115" t="s">
        <v>31</v>
      </c>
      <c r="B115" s="13">
        <v>44.25</v>
      </c>
      <c r="C115">
        <v>0</v>
      </c>
      <c r="D115" t="s">
        <v>195</v>
      </c>
      <c r="E115" s="13">
        <v>41.248211915969272</v>
      </c>
      <c r="F115" t="s">
        <v>225</v>
      </c>
    </row>
    <row r="116" spans="1:7">
      <c r="A116" t="s">
        <v>181</v>
      </c>
      <c r="B116" s="13">
        <v>45</v>
      </c>
      <c r="C116">
        <v>0</v>
      </c>
      <c r="D116" t="s">
        <v>195</v>
      </c>
      <c r="E116" s="13">
        <v>41.248211915969272</v>
      </c>
      <c r="F116" t="s">
        <v>225</v>
      </c>
    </row>
    <row r="117" spans="1:7">
      <c r="A117" t="s">
        <v>53</v>
      </c>
      <c r="B117" s="13">
        <v>45</v>
      </c>
      <c r="C117">
        <v>38003731</v>
      </c>
      <c r="D117" t="s">
        <v>202</v>
      </c>
      <c r="E117" s="13">
        <v>39.666666666666664</v>
      </c>
      <c r="F117" t="s">
        <v>225</v>
      </c>
      <c r="G117" s="2"/>
    </row>
    <row r="118" spans="1:7">
      <c r="A118" t="s">
        <v>48</v>
      </c>
      <c r="B118" s="13">
        <v>45</v>
      </c>
      <c r="C118">
        <v>38003716</v>
      </c>
      <c r="D118" t="s">
        <v>200</v>
      </c>
      <c r="E118" s="13">
        <v>45</v>
      </c>
      <c r="F118" t="s">
        <v>225</v>
      </c>
    </row>
    <row r="119" spans="1:7">
      <c r="A119" t="s">
        <v>35</v>
      </c>
      <c r="B119" s="13">
        <v>45</v>
      </c>
      <c r="C119">
        <v>38003716</v>
      </c>
      <c r="D119" t="s">
        <v>200</v>
      </c>
      <c r="E119" s="13">
        <v>45</v>
      </c>
      <c r="F119" t="s">
        <v>225</v>
      </c>
    </row>
    <row r="120" spans="1:7">
      <c r="A120" t="s">
        <v>106</v>
      </c>
      <c r="B120" s="13">
        <v>48</v>
      </c>
      <c r="C120">
        <v>0</v>
      </c>
      <c r="D120" t="s">
        <v>195</v>
      </c>
      <c r="E120" s="13">
        <v>41.248211915969272</v>
      </c>
      <c r="F120" t="s">
        <v>225</v>
      </c>
    </row>
    <row r="121" spans="1:7">
      <c r="A121" t="s">
        <v>150</v>
      </c>
      <c r="B121" s="13">
        <v>48</v>
      </c>
      <c r="C121">
        <v>0</v>
      </c>
      <c r="D121" t="s">
        <v>195</v>
      </c>
      <c r="E121" s="13">
        <v>41.248211915969272</v>
      </c>
      <c r="F121" t="s">
        <v>225</v>
      </c>
    </row>
    <row r="122" spans="1:7">
      <c r="A122" t="s">
        <v>171</v>
      </c>
      <c r="B122" s="13">
        <v>48</v>
      </c>
      <c r="C122">
        <v>0</v>
      </c>
      <c r="D122" t="s">
        <v>195</v>
      </c>
      <c r="E122" s="13">
        <v>41.248211915969272</v>
      </c>
      <c r="F122" t="s">
        <v>225</v>
      </c>
    </row>
    <row r="123" spans="1:7">
      <c r="A123" t="s">
        <v>140</v>
      </c>
      <c r="B123" s="13">
        <v>48</v>
      </c>
      <c r="C123">
        <v>38004499</v>
      </c>
      <c r="D123" t="s">
        <v>140</v>
      </c>
      <c r="E123" s="13">
        <f>B123</f>
        <v>48</v>
      </c>
      <c r="F123" t="s">
        <v>224</v>
      </c>
    </row>
    <row r="124" spans="1:7">
      <c r="A124" t="s">
        <v>134</v>
      </c>
      <c r="B124" s="13">
        <v>51.5</v>
      </c>
      <c r="C124">
        <v>38003638</v>
      </c>
      <c r="D124" t="s">
        <v>216</v>
      </c>
      <c r="E124" s="13">
        <f>B124</f>
        <v>51.5</v>
      </c>
      <c r="F124" t="s">
        <v>224</v>
      </c>
    </row>
    <row r="125" spans="1:7">
      <c r="A125" t="s">
        <v>109</v>
      </c>
      <c r="B125" s="13">
        <v>57</v>
      </c>
      <c r="C125">
        <v>38003659</v>
      </c>
      <c r="D125" t="s">
        <v>214</v>
      </c>
      <c r="E125" s="13">
        <f>B125</f>
        <v>57</v>
      </c>
      <c r="F125" t="s">
        <v>224</v>
      </c>
    </row>
    <row r="126" spans="1:7">
      <c r="A126" t="s">
        <v>143</v>
      </c>
      <c r="B126" s="13">
        <v>57</v>
      </c>
      <c r="C126">
        <v>0</v>
      </c>
      <c r="D126" t="s">
        <v>195</v>
      </c>
      <c r="E126" s="13">
        <v>41.248211915969272</v>
      </c>
      <c r="F126" t="s">
        <v>225</v>
      </c>
      <c r="G126" s="2"/>
    </row>
    <row r="127" spans="1:7">
      <c r="A127" t="s">
        <v>123</v>
      </c>
      <c r="B127" s="13">
        <v>57</v>
      </c>
      <c r="C127">
        <v>0</v>
      </c>
      <c r="D127" t="s">
        <v>195</v>
      </c>
      <c r="E127" s="13">
        <v>41.248211915969272</v>
      </c>
      <c r="F127" t="s">
        <v>225</v>
      </c>
    </row>
    <row r="128" spans="1:7">
      <c r="A128" t="s">
        <v>129</v>
      </c>
      <c r="B128" s="13">
        <v>57</v>
      </c>
      <c r="C128">
        <v>0</v>
      </c>
      <c r="D128" t="s">
        <v>195</v>
      </c>
      <c r="E128" s="13">
        <v>41.248211915969272</v>
      </c>
      <c r="F128" t="s">
        <v>225</v>
      </c>
    </row>
    <row r="129" spans="1:7">
      <c r="A129" t="s">
        <v>165</v>
      </c>
      <c r="B129" s="13">
        <v>57</v>
      </c>
      <c r="C129">
        <v>0</v>
      </c>
      <c r="D129" t="s">
        <v>195</v>
      </c>
      <c r="E129" s="13">
        <v>41.248211915969272</v>
      </c>
      <c r="F129" t="s">
        <v>225</v>
      </c>
      <c r="G129" s="2"/>
    </row>
    <row r="130" spans="1:7">
      <c r="A130" t="s">
        <v>148</v>
      </c>
      <c r="B130" s="13">
        <v>57</v>
      </c>
      <c r="C130">
        <v>0</v>
      </c>
      <c r="D130" t="s">
        <v>195</v>
      </c>
      <c r="E130" s="13">
        <v>41.248211915969272</v>
      </c>
      <c r="F130" t="s">
        <v>225</v>
      </c>
      <c r="G130" s="2"/>
    </row>
    <row r="131" spans="1:7">
      <c r="A131" t="s">
        <v>121</v>
      </c>
      <c r="B131" s="13">
        <v>57</v>
      </c>
      <c r="C131">
        <v>0</v>
      </c>
      <c r="D131" t="s">
        <v>195</v>
      </c>
      <c r="E131" s="13">
        <v>41.248211915969272</v>
      </c>
      <c r="F131" t="s">
        <v>225</v>
      </c>
    </row>
    <row r="132" spans="1:7">
      <c r="A132" t="s">
        <v>156</v>
      </c>
      <c r="B132" s="13">
        <v>57</v>
      </c>
      <c r="C132">
        <v>0</v>
      </c>
      <c r="D132" t="s">
        <v>195</v>
      </c>
      <c r="E132" s="13">
        <v>41.248211915969272</v>
      </c>
      <c r="F132" t="s">
        <v>225</v>
      </c>
    </row>
    <row r="133" spans="1:7">
      <c r="A133" t="s">
        <v>100</v>
      </c>
      <c r="B133" s="13">
        <v>68</v>
      </c>
      <c r="C133">
        <v>0</v>
      </c>
      <c r="D133" t="s">
        <v>195</v>
      </c>
      <c r="E133" s="13">
        <v>41.248211915969272</v>
      </c>
      <c r="F133" t="s">
        <v>225</v>
      </c>
    </row>
    <row r="134" spans="1:7">
      <c r="A134" t="s">
        <v>128</v>
      </c>
      <c r="B134" s="13">
        <v>68</v>
      </c>
      <c r="C134">
        <v>0</v>
      </c>
      <c r="D134" t="s">
        <v>195</v>
      </c>
      <c r="E134" s="13">
        <v>41.248211915969272</v>
      </c>
      <c r="F134" t="s">
        <v>225</v>
      </c>
    </row>
    <row r="135" spans="1:7">
      <c r="A135" t="s">
        <v>167</v>
      </c>
      <c r="B135" s="13">
        <v>68</v>
      </c>
      <c r="C135">
        <v>0</v>
      </c>
      <c r="D135" t="s">
        <v>195</v>
      </c>
      <c r="E135" s="13">
        <v>41.248211915969272</v>
      </c>
      <c r="F135" t="s">
        <v>225</v>
      </c>
      <c r="G135" s="2"/>
    </row>
    <row r="136" spans="1:7">
      <c r="A136" t="s">
        <v>154</v>
      </c>
      <c r="B136" s="13">
        <v>68</v>
      </c>
      <c r="C136">
        <v>0</v>
      </c>
      <c r="D136" t="s">
        <v>195</v>
      </c>
      <c r="E136" s="13">
        <v>41.248211915969272</v>
      </c>
      <c r="F136" t="s">
        <v>225</v>
      </c>
      <c r="G136" s="2"/>
    </row>
    <row r="137" spans="1:7">
      <c r="A137" t="s">
        <v>119</v>
      </c>
      <c r="B137" s="13">
        <v>68</v>
      </c>
      <c r="C137">
        <v>0</v>
      </c>
      <c r="D137" t="s">
        <v>195</v>
      </c>
      <c r="E137" s="13">
        <v>41.248211915969272</v>
      </c>
      <c r="F137" t="s">
        <v>225</v>
      </c>
      <c r="G137" s="2"/>
    </row>
    <row r="138" spans="1:7">
      <c r="A138" t="s">
        <v>130</v>
      </c>
      <c r="B138" s="13">
        <v>68</v>
      </c>
      <c r="C138">
        <v>0</v>
      </c>
      <c r="D138" t="s">
        <v>195</v>
      </c>
      <c r="E138" s="13">
        <v>41.248211915969272</v>
      </c>
      <c r="F138" t="s">
        <v>225</v>
      </c>
      <c r="G138" s="2"/>
    </row>
    <row r="139" spans="1:7">
      <c r="A139" t="s">
        <v>153</v>
      </c>
      <c r="B139" s="13">
        <v>68</v>
      </c>
      <c r="C139">
        <v>0</v>
      </c>
      <c r="D139" t="s">
        <v>195</v>
      </c>
      <c r="E139" s="13">
        <v>41.248211915969272</v>
      </c>
      <c r="F139" t="s">
        <v>225</v>
      </c>
      <c r="G139" s="2"/>
    </row>
    <row r="140" spans="1:7">
      <c r="A140" t="s">
        <v>120</v>
      </c>
      <c r="B140" s="13">
        <v>77</v>
      </c>
      <c r="C140">
        <v>0</v>
      </c>
      <c r="D140" t="s">
        <v>195</v>
      </c>
      <c r="E140" s="13">
        <v>41.248211915969272</v>
      </c>
      <c r="F140" t="s">
        <v>225</v>
      </c>
      <c r="G140" s="2"/>
    </row>
    <row r="141" spans="1:7">
      <c r="A141" t="s">
        <v>169</v>
      </c>
      <c r="B141" s="13">
        <v>83</v>
      </c>
      <c r="C141">
        <v>0</v>
      </c>
      <c r="D141" t="s">
        <v>195</v>
      </c>
      <c r="E141" s="13">
        <v>41.248211915969272</v>
      </c>
      <c r="F141" t="s">
        <v>225</v>
      </c>
    </row>
    <row r="142" spans="1:7">
      <c r="A142" t="s">
        <v>179</v>
      </c>
      <c r="B142" s="13">
        <v>83</v>
      </c>
      <c r="C142">
        <v>0</v>
      </c>
      <c r="D142" t="s">
        <v>195</v>
      </c>
      <c r="E142" s="13">
        <v>41.248211915969272</v>
      </c>
      <c r="F142" t="s">
        <v>225</v>
      </c>
    </row>
    <row r="143" spans="1:7">
      <c r="A143" t="s">
        <v>184</v>
      </c>
      <c r="B143" s="13">
        <v>83</v>
      </c>
      <c r="C143">
        <v>0</v>
      </c>
      <c r="D143" t="s">
        <v>195</v>
      </c>
      <c r="E143" s="13">
        <v>41.248211915969272</v>
      </c>
      <c r="F143" t="s">
        <v>225</v>
      </c>
    </row>
    <row r="144" spans="1:7">
      <c r="A144" t="s">
        <v>168</v>
      </c>
      <c r="B144" s="13">
        <v>83</v>
      </c>
      <c r="C144">
        <v>0</v>
      </c>
      <c r="D144" t="s">
        <v>195</v>
      </c>
      <c r="E144" s="13">
        <v>41.248211915969272</v>
      </c>
      <c r="F144" t="s">
        <v>225</v>
      </c>
    </row>
    <row r="145" spans="1:7">
      <c r="A145" t="s">
        <v>139</v>
      </c>
      <c r="B145" s="13">
        <v>83</v>
      </c>
      <c r="C145">
        <v>0</v>
      </c>
      <c r="D145" t="s">
        <v>195</v>
      </c>
      <c r="E145" s="13">
        <v>41.248211915969272</v>
      </c>
      <c r="F145" t="s">
        <v>225</v>
      </c>
    </row>
    <row r="146" spans="1:7">
      <c r="A146" t="s">
        <v>132</v>
      </c>
      <c r="B146" s="13">
        <v>83</v>
      </c>
      <c r="C146">
        <v>0</v>
      </c>
      <c r="D146" t="s">
        <v>195</v>
      </c>
      <c r="E146" s="13">
        <v>41.248211915969272</v>
      </c>
      <c r="F146" t="s">
        <v>225</v>
      </c>
    </row>
    <row r="147" spans="1:7">
      <c r="A147" t="s">
        <v>142</v>
      </c>
      <c r="B147" s="13">
        <v>115.5</v>
      </c>
      <c r="C147">
        <v>0</v>
      </c>
      <c r="D147" t="s">
        <v>195</v>
      </c>
      <c r="E147" s="13">
        <v>41.248211915969272</v>
      </c>
      <c r="F147" t="s">
        <v>225</v>
      </c>
    </row>
    <row r="148" spans="1:7">
      <c r="A148" t="s">
        <v>104</v>
      </c>
      <c r="B148" s="13">
        <v>115.5</v>
      </c>
      <c r="C148">
        <v>0</v>
      </c>
      <c r="D148" t="s">
        <v>195</v>
      </c>
      <c r="E148" s="13">
        <v>41.248211915969272</v>
      </c>
      <c r="F148" t="s">
        <v>225</v>
      </c>
    </row>
    <row r="149" spans="1:7">
      <c r="A149" t="s">
        <v>136</v>
      </c>
      <c r="B149" s="13">
        <v>115.5</v>
      </c>
      <c r="C149">
        <v>0</v>
      </c>
      <c r="D149" t="s">
        <v>195</v>
      </c>
      <c r="E149" s="13">
        <v>41.248211915969272</v>
      </c>
      <c r="F149" t="s">
        <v>225</v>
      </c>
    </row>
    <row r="150" spans="1:7">
      <c r="A150" t="s">
        <v>158</v>
      </c>
      <c r="B150" s="13">
        <v>115.5</v>
      </c>
      <c r="C150">
        <v>0</v>
      </c>
      <c r="D150" t="s">
        <v>195</v>
      </c>
      <c r="E150" s="13">
        <v>41.248211915969272</v>
      </c>
      <c r="F150" t="s">
        <v>225</v>
      </c>
    </row>
    <row r="151" spans="1:7">
      <c r="A151" t="s">
        <v>103</v>
      </c>
      <c r="B151" s="13">
        <v>115.5</v>
      </c>
      <c r="C151">
        <v>0</v>
      </c>
      <c r="D151" t="s">
        <v>195</v>
      </c>
      <c r="E151" s="13">
        <v>41.248211915969272</v>
      </c>
      <c r="F151" t="s">
        <v>225</v>
      </c>
      <c r="G151" s="2"/>
    </row>
    <row r="152" spans="1:7">
      <c r="A152" t="s">
        <v>164</v>
      </c>
      <c r="B152" s="13">
        <v>115.5</v>
      </c>
      <c r="C152">
        <v>0</v>
      </c>
      <c r="D152" t="s">
        <v>195</v>
      </c>
      <c r="E152" s="13">
        <v>41.248211915969272</v>
      </c>
      <c r="F152" t="s">
        <v>225</v>
      </c>
      <c r="G152" s="2"/>
    </row>
    <row r="153" spans="1:7">
      <c r="A153" t="s">
        <v>95</v>
      </c>
      <c r="B153" s="13">
        <v>115.5</v>
      </c>
      <c r="C153">
        <v>0</v>
      </c>
      <c r="D153" t="s">
        <v>195</v>
      </c>
      <c r="E153" s="13">
        <v>41.248211915969272</v>
      </c>
      <c r="F153" t="s">
        <v>225</v>
      </c>
    </row>
    <row r="154" spans="1:7">
      <c r="A154" t="s">
        <v>131</v>
      </c>
      <c r="B154" s="13">
        <v>115.5</v>
      </c>
      <c r="C154">
        <v>0</v>
      </c>
      <c r="D154" t="s">
        <v>195</v>
      </c>
      <c r="E154" s="13">
        <v>41.248211915969272</v>
      </c>
      <c r="F154" t="s">
        <v>225</v>
      </c>
    </row>
    <row r="155" spans="1:7">
      <c r="A155" t="s">
        <v>151</v>
      </c>
      <c r="B155" s="13">
        <v>149</v>
      </c>
      <c r="C155">
        <v>0</v>
      </c>
      <c r="D155" t="s">
        <v>195</v>
      </c>
      <c r="E155" s="13">
        <v>41.248211915969272</v>
      </c>
      <c r="F155" t="s">
        <v>225</v>
      </c>
    </row>
    <row r="156" spans="1:7">
      <c r="A156" t="s">
        <v>183</v>
      </c>
      <c r="B156" s="13">
        <v>150</v>
      </c>
      <c r="C156">
        <v>0</v>
      </c>
      <c r="D156" t="s">
        <v>195</v>
      </c>
      <c r="E156" s="13">
        <v>41.248211915969272</v>
      </c>
      <c r="F156" t="s">
        <v>225</v>
      </c>
      <c r="G156" s="2"/>
    </row>
    <row r="157" spans="1:7">
      <c r="A157" t="s">
        <v>159</v>
      </c>
      <c r="B157" s="13">
        <v>69</v>
      </c>
      <c r="C157">
        <v>0</v>
      </c>
      <c r="D157" t="s">
        <v>195</v>
      </c>
      <c r="E157" s="13">
        <v>41.248211915969272</v>
      </c>
      <c r="F157" t="s">
        <v>225</v>
      </c>
      <c r="G157" s="2"/>
    </row>
  </sheetData>
  <autoFilter ref="A1:F157" xr:uid="{C0CF1928-6488-4AD1-B22F-BC295F5F938E}">
    <sortState xmlns:xlrd2="http://schemas.microsoft.com/office/spreadsheetml/2017/richdata2" ref="A2:F157">
      <sortCondition ref="B1:B157"/>
    </sortState>
  </autoFilter>
  <conditionalFormatting sqref="A158:A1048576 A1:A156">
    <cfRule type="duplicateValues" dxfId="1" priority="3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B1DC-0936-4082-9C45-DE37E4E6918D}">
  <dimension ref="D2:O32"/>
  <sheetViews>
    <sheetView workbookViewId="0">
      <selection activeCell="E23" sqref="E23"/>
    </sheetView>
  </sheetViews>
  <sheetFormatPr defaultColWidth="9.140625" defaultRowHeight="15"/>
  <cols>
    <col min="1" max="16384" width="9.140625" style="6"/>
  </cols>
  <sheetData>
    <row r="2" spans="4:15">
      <c r="D2" s="7" t="s">
        <v>227</v>
      </c>
    </row>
    <row r="4" spans="4:15">
      <c r="D4" s="7" t="s">
        <v>228</v>
      </c>
      <c r="O4" s="7" t="s">
        <v>229</v>
      </c>
    </row>
    <row r="7" spans="4:15">
      <c r="D7" s="6" t="s">
        <v>230</v>
      </c>
      <c r="O7" s="6" t="s">
        <v>231</v>
      </c>
    </row>
    <row r="8" spans="4:15">
      <c r="D8" s="6" t="s">
        <v>232</v>
      </c>
      <c r="O8" s="6" t="s">
        <v>233</v>
      </c>
    </row>
    <row r="9" spans="4:15">
      <c r="D9" s="6" t="s">
        <v>234</v>
      </c>
      <c r="O9" s="6" t="s">
        <v>235</v>
      </c>
    </row>
    <row r="10" spans="4:15">
      <c r="D10" s="6" t="s">
        <v>236</v>
      </c>
      <c r="O10" s="6" t="s">
        <v>237</v>
      </c>
    </row>
    <row r="11" spans="4:15">
      <c r="O11" s="6" t="s">
        <v>238</v>
      </c>
    </row>
    <row r="12" spans="4:15">
      <c r="O12" s="6" t="s">
        <v>239</v>
      </c>
    </row>
    <row r="13" spans="4:15">
      <c r="D13" s="6" t="s">
        <v>240</v>
      </c>
    </row>
    <row r="14" spans="4:15">
      <c r="D14" s="6" t="s">
        <v>241</v>
      </c>
    </row>
    <row r="15" spans="4:15">
      <c r="O15" s="6" t="s">
        <v>242</v>
      </c>
    </row>
    <row r="16" spans="4:15">
      <c r="D16" s="6" t="s">
        <v>242</v>
      </c>
      <c r="O16" s="6" t="s">
        <v>243</v>
      </c>
    </row>
    <row r="17" spans="4:15">
      <c r="D17" s="6" t="s">
        <v>244</v>
      </c>
      <c r="O17" s="6" t="s">
        <v>245</v>
      </c>
    </row>
    <row r="18" spans="4:15">
      <c r="D18" s="6" t="s">
        <v>246</v>
      </c>
      <c r="O18" s="6" t="s">
        <v>247</v>
      </c>
    </row>
    <row r="19" spans="4:15">
      <c r="D19" s="6" t="s">
        <v>248</v>
      </c>
      <c r="O19" s="6" t="s">
        <v>249</v>
      </c>
    </row>
    <row r="20" spans="4:15">
      <c r="D20" s="6" t="s">
        <v>250</v>
      </c>
      <c r="O20" s="6" t="s">
        <v>251</v>
      </c>
    </row>
    <row r="21" spans="4:15">
      <c r="D21" s="6" t="s">
        <v>252</v>
      </c>
      <c r="O21" s="6" t="s">
        <v>253</v>
      </c>
    </row>
    <row r="22" spans="4:15">
      <c r="O22" s="6" t="s">
        <v>254</v>
      </c>
    </row>
    <row r="23" spans="4:15">
      <c r="D23" s="6" t="s">
        <v>255</v>
      </c>
    </row>
    <row r="24" spans="4:15">
      <c r="D24" s="6" t="s">
        <v>256</v>
      </c>
    </row>
    <row r="27" spans="4:15">
      <c r="D27" s="7" t="s">
        <v>257</v>
      </c>
    </row>
    <row r="28" spans="4:15">
      <c r="D28" s="6" t="s">
        <v>258</v>
      </c>
    </row>
    <row r="29" spans="4:15">
      <c r="D29" s="6" t="s">
        <v>259</v>
      </c>
    </row>
    <row r="30" spans="4:15">
      <c r="D30" s="6" t="s">
        <v>260</v>
      </c>
    </row>
    <row r="31" spans="4:15">
      <c r="D31" s="6" t="s">
        <v>261</v>
      </c>
    </row>
    <row r="32" spans="4:15">
      <c r="D32" s="6" t="s">
        <v>262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82773F43766A499835CC578A468AA5" ma:contentTypeVersion="13" ma:contentTypeDescription="Create a new document." ma:contentTypeScope="" ma:versionID="3e283e4dfac8145223aed60363ec6d7b">
  <xsd:schema xmlns:xsd="http://www.w3.org/2001/XMLSchema" xmlns:xs="http://www.w3.org/2001/XMLSchema" xmlns:p="http://schemas.microsoft.com/office/2006/metadata/properties" xmlns:ns3="23b75f3a-874c-408d-a806-d7f3e6e8c69e" xmlns:ns4="b7fa4fdd-4bb0-49ae-bd19-51a8e137ac36" targetNamespace="http://schemas.microsoft.com/office/2006/metadata/properties" ma:root="true" ma:fieldsID="0f31fbf1546f85e83668de52698bbf0a" ns3:_="" ns4:_="">
    <xsd:import namespace="23b75f3a-874c-408d-a806-d7f3e6e8c69e"/>
    <xsd:import namespace="b7fa4fdd-4bb0-49ae-bd19-51a8e137ac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75f3a-874c-408d-a806-d7f3e6e8c6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a4fdd-4bb0-49ae-bd19-51a8e137ac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b75f3a-874c-408d-a806-d7f3e6e8c69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D188A2-B45F-4C54-8361-C2D76456C8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b75f3a-874c-408d-a806-d7f3e6e8c69e"/>
    <ds:schemaRef ds:uri="b7fa4fdd-4bb0-49ae-bd19-51a8e137ac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CD590F-80B3-42A6-94B2-E4FCED13FAA4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23b75f3a-874c-408d-a806-d7f3e6e8c69e"/>
    <ds:schemaRef ds:uri="http://schemas.microsoft.com/office/infopath/2007/PartnerControls"/>
    <ds:schemaRef ds:uri="http://schemas.openxmlformats.org/package/2006/metadata/core-properties"/>
    <ds:schemaRef ds:uri="b7fa4fdd-4bb0-49ae-bd19-51a8e137ac36"/>
  </ds:schemaRefs>
</ds:datastoreItem>
</file>

<file path=customXml/itemProps3.xml><?xml version="1.0" encoding="utf-8"?>
<ds:datastoreItem xmlns:ds="http://schemas.openxmlformats.org/officeDocument/2006/customXml" ds:itemID="{CC485943-DEE3-4224-BBD1-26D29FF54D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source_cprd_aurum</vt:lpstr>
      <vt:lpstr>omop</vt:lpstr>
      <vt:lpstr>master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Gianluca Fabiano</dc:creator>
  <cp:keywords/>
  <dc:description/>
  <cp:lastModifiedBy>Gianluca Fabiano</cp:lastModifiedBy>
  <cp:revision/>
  <cp:lastPrinted>2025-07-22T14:03:57Z</cp:lastPrinted>
  <dcterms:created xsi:type="dcterms:W3CDTF">2025-07-03T15:30:13Z</dcterms:created>
  <dcterms:modified xsi:type="dcterms:W3CDTF">2025-07-25T11:00:39Z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0x010100F082773F43766A499835CC578A468AA5</vt:lpwstr>
  </property>
  <property fmtid="{D5CDD505-2E9C-101B-9397-08002B2CF9AE}" pid="3" name="MediaServiceImageTags">
    <vt:lpwstr/>
  </property>
</Properties>
</file>