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"/>
    </mc:Choice>
  </mc:AlternateContent>
  <xr:revisionPtr revIDLastSave="3" documentId="8_{F8CCD673-2DB1-4E4C-9864-DE09D412825F}" xr6:coauthVersionLast="47" xr6:coauthVersionMax="47" xr10:uidLastSave="{F6F79DE3-16A6-4522-B854-4B86C655F6D8}"/>
  <bookViews>
    <workbookView xWindow="28680" yWindow="-120" windowWidth="29040" windowHeight="15720" xr2:uid="{2735BDA3-DE0F-409A-AF31-62DE8638BF76}"/>
  </bookViews>
  <sheets>
    <sheet name="Sheet1" sheetId="1" r:id="rId1"/>
  </sheets>
  <definedNames>
    <definedName name="_xlnm._FilterDatabase" localSheetId="0" hidden="1">Sheet1!$A$1:$E$199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1" l="1"/>
  <c r="C73" i="1"/>
  <c r="C72" i="1"/>
  <c r="C71" i="1"/>
  <c r="C65" i="1"/>
  <c r="C64" i="1"/>
  <c r="C63" i="1"/>
  <c r="C3" i="1"/>
  <c r="C4" i="1"/>
  <c r="C2" i="1"/>
</calcChain>
</file>

<file path=xl/sharedStrings.xml><?xml version="1.0" encoding="utf-8"?>
<sst xmlns="http://schemas.openxmlformats.org/spreadsheetml/2006/main" count="383" uniqueCount="225">
  <si>
    <t>specialty_source_value</t>
  </si>
  <si>
    <t>Include</t>
  </si>
  <si>
    <t>unit_cost</t>
  </si>
  <si>
    <t>Notes</t>
  </si>
  <si>
    <t>specialty_source_value_summarised</t>
  </si>
  <si>
    <t>Medical Technical Officer - Pharmacy</t>
  </si>
  <si>
    <t>Pharmacy technician (community-based scientific and professional staff band 4) per working hour = £36, assuming 10 mins per encounter</t>
  </si>
  <si>
    <t>Other</t>
  </si>
  <si>
    <t>Medical Technical Officer</t>
  </si>
  <si>
    <t>Pre-reg Pharmacist</t>
  </si>
  <si>
    <t>Receptionist</t>
  </si>
  <si>
    <t>Clerical Worker</t>
  </si>
  <si>
    <t>Art Therapist Manager</t>
  </si>
  <si>
    <t>Healthcare Assistant</t>
  </si>
  <si>
    <t>System Administrator</t>
  </si>
  <si>
    <t>Community Team Manager</t>
  </si>
  <si>
    <t>Radiologist</t>
  </si>
  <si>
    <t>Band 5 salary per hour = 47 (qualified nurses), assuming 15 min encounter</t>
  </si>
  <si>
    <t>Community Administrator</t>
  </si>
  <si>
    <t>Student Practice Nurse</t>
  </si>
  <si>
    <t>Desktop Support Administrator</t>
  </si>
  <si>
    <t>Senior Administrator</t>
  </si>
  <si>
    <t>Student Nurse - Adult Branch</t>
  </si>
  <si>
    <t>Secretary</t>
  </si>
  <si>
    <t>Health Care Support Worker</t>
  </si>
  <si>
    <t>Nurse associate practitioner (community), Nurse associate practitioner (Mental Health), Nursery nurse (Community), Band 4. duration of contact 15.5 minutes per surgery consultation based on the 2006/07 UK general practice survey</t>
  </si>
  <si>
    <t>Community Nurse</t>
  </si>
  <si>
    <t>Nurse (Community), Nurse (Schools), Nurse (Learning disabilities), Band 5, Cost per hour face-to-face time, duration of contact 15.5 minutes per surgery consultation based on the 2006/07 UK general practice survey (PSSRU 2015).</t>
  </si>
  <si>
    <t>Nurse</t>
  </si>
  <si>
    <t>Medical Secretary</t>
  </si>
  <si>
    <t>Trainee Practitioner</t>
  </si>
  <si>
    <t>Pharmacist</t>
  </si>
  <si>
    <t>Phlebotomist</t>
  </si>
  <si>
    <t>Associate Practitioner - Nurse</t>
  </si>
  <si>
    <t>Student District Nurse</t>
  </si>
  <si>
    <t>Dispenser</t>
  </si>
  <si>
    <t>Student Community Mental Health Nurse</t>
  </si>
  <si>
    <t>Paramedic Manager</t>
  </si>
  <si>
    <t>Clinical Coder</t>
  </si>
  <si>
    <t>Student School Nurse</t>
  </si>
  <si>
    <t>Trainer</t>
  </si>
  <si>
    <t>Medical Records Manager</t>
  </si>
  <si>
    <t>Enrolled Nurse</t>
  </si>
  <si>
    <t>Appointments Clerk</t>
  </si>
  <si>
    <t>System Worker</t>
  </si>
  <si>
    <t>Medical Records Clerk</t>
  </si>
  <si>
    <t>Technician - Admin &amp; Clerical</t>
  </si>
  <si>
    <t>Assistant Practitioner</t>
  </si>
  <si>
    <t>Helpdesk Administrator</t>
  </si>
  <si>
    <t>Health Visitor</t>
  </si>
  <si>
    <t>Clinical Assistant</t>
  </si>
  <si>
    <t>Desktop Support Technician</t>
  </si>
  <si>
    <t>Nursery Nurse</t>
  </si>
  <si>
    <t>Nursing Cadet</t>
  </si>
  <si>
    <t>Clinical Application Administrator</t>
  </si>
  <si>
    <t>Paramedic</t>
  </si>
  <si>
    <t>Cost per working hour (£47), qualified nurses, assuming 30 min encounter</t>
  </si>
  <si>
    <t>Practitioner</t>
  </si>
  <si>
    <t>Nurse team leader (learning disabilities), Nurse Specialist (Community), Nurse Specialist (Schools), Nurse Specialist (Special schools), Band 6, Cost per hour face-to-face time, duration of contact 15.5 minutes per surgery consultation based on the 2006/07 UK general practice survey (PSSRU 2015).</t>
  </si>
  <si>
    <t>Network Administrator</t>
  </si>
  <si>
    <t>Advanced Practitioner</t>
  </si>
  <si>
    <t>Health Records Administrator</t>
  </si>
  <si>
    <t>Health Records Clerk</t>
  </si>
  <si>
    <t>Other Community Health Service - Admin Clerk</t>
  </si>
  <si>
    <t>Assistant GP</t>
  </si>
  <si>
    <t>Specialist Nurse Practitioner</t>
  </si>
  <si>
    <t>Community Mental Health Nurse</t>
  </si>
  <si>
    <t>Community Learning Disabilities Nurse</t>
  </si>
  <si>
    <t>Paramedic Consultant</t>
  </si>
  <si>
    <t>Cost per working hours, Qualified nurse Band 8c (£103), assuming 15 min encounter</t>
  </si>
  <si>
    <t>Helper/Assistant</t>
  </si>
  <si>
    <t>Paramedic Specialist Practitioner</t>
  </si>
  <si>
    <t>Cost per working hours, Qualified nurse Band 6 (£57), assuming 30 min encounter</t>
  </si>
  <si>
    <t>Medical Student</t>
  </si>
  <si>
    <t>Information Officer</t>
  </si>
  <si>
    <t>Physician Assistant</t>
  </si>
  <si>
    <t>Midwife</t>
  </si>
  <si>
    <t>Hospital -based nurses, Band 6, cost per hour (£52), assumed 15 min consultation and 2.5 ratio paid hours.</t>
  </si>
  <si>
    <t>Associate Specialist</t>
  </si>
  <si>
    <t>Associate Practitioner</t>
  </si>
  <si>
    <t>Helpdesk Technician</t>
  </si>
  <si>
    <t>Staff Grade</t>
  </si>
  <si>
    <t>Network Technician</t>
  </si>
  <si>
    <t>Clinical Team Manager</t>
  </si>
  <si>
    <t>Other Community Health Service</t>
  </si>
  <si>
    <t>Specialist Practitioner</t>
  </si>
  <si>
    <t>Modern Matron</t>
  </si>
  <si>
    <t>Officer</t>
  </si>
  <si>
    <t>Analyst</t>
  </si>
  <si>
    <t>Caldicott Guardian</t>
  </si>
  <si>
    <t>Availability Monitor</t>
  </si>
  <si>
    <t>Midwife - Specialist Practitioner</t>
  </si>
  <si>
    <t>Physiotherapist Manager</t>
  </si>
  <si>
    <t>Midwife - Manager</t>
  </si>
  <si>
    <t>General Medical Practitioner</t>
  </si>
  <si>
    <t>Cost per surgery consultation lasting 10 minutes - GP (including direct care staffcosts, without qualification)</t>
  </si>
  <si>
    <t>General Practitioner</t>
  </si>
  <si>
    <t>House Officer - Post Registration</t>
  </si>
  <si>
    <t>Community Practitioner</t>
  </si>
  <si>
    <t>Salaried General Practitioner</t>
  </si>
  <si>
    <t>Sessional GP</t>
  </si>
  <si>
    <t>GP Registrar</t>
  </si>
  <si>
    <t>Locum GP</t>
  </si>
  <si>
    <t>Associate Practitioner - General Practitioner</t>
  </si>
  <si>
    <t>Clinical Director - Medical</t>
  </si>
  <si>
    <t>Chiropodist/Podiatrist Manager</t>
  </si>
  <si>
    <t>Deputising Doctor</t>
  </si>
  <si>
    <t>Ward Manager</t>
  </si>
  <si>
    <t>Senior House Officer</t>
  </si>
  <si>
    <t>Clinical Director</t>
  </si>
  <si>
    <t>Porter</t>
  </si>
  <si>
    <t>Specialist Registrar</t>
  </si>
  <si>
    <t>Intermediate Care staff</t>
  </si>
  <si>
    <t>Trust Grade Doctor - Career Grade level</t>
  </si>
  <si>
    <t>Trust Grade Doctor - Specialist Registrar level</t>
  </si>
  <si>
    <t>Clinical Medical Officer</t>
  </si>
  <si>
    <t>Asst. Clinical Medical Officer</t>
  </si>
  <si>
    <t>Orthoptist Manager</t>
  </si>
  <si>
    <t>Medical Director</t>
  </si>
  <si>
    <t>Trust Grade Doctor - House Officer level</t>
  </si>
  <si>
    <t>Senior Clinical Medical Officer</t>
  </si>
  <si>
    <t>Finance Director</t>
  </si>
  <si>
    <t>Physiotherapist</t>
  </si>
  <si>
    <t>Community-based scientific and professional staff, band 5(Physiotherapist, Occupational Therapist, Speech and Language Therapist, Podiatrist, Clinical psychology assistant practitioner (higher level), Counsellor (entry level). Cost per working hour</t>
  </si>
  <si>
    <t>Researcher</t>
  </si>
  <si>
    <t>Occupational Therapist Manager</t>
  </si>
  <si>
    <t>Call Operator</t>
  </si>
  <si>
    <t>Chiropodist/Podiatrist</t>
  </si>
  <si>
    <t>Dietitian</t>
  </si>
  <si>
    <t>Hospital-based scientific and professional staff, band 5, Cost per working hour</t>
  </si>
  <si>
    <t>Radiographer</t>
  </si>
  <si>
    <t>Ward Clerk</t>
  </si>
  <si>
    <t>Dietitian Manager</t>
  </si>
  <si>
    <t>Waiting List Clerk</t>
  </si>
  <si>
    <t>Manager</t>
  </si>
  <si>
    <t>Counsellor</t>
  </si>
  <si>
    <t>Occupational Therapist</t>
  </si>
  <si>
    <t>Dietitian Specialist Practitioner</t>
  </si>
  <si>
    <t>Child Protection worker</t>
  </si>
  <si>
    <t>Social care staff, Social worker (adult services), Cost per hour without qualification</t>
  </si>
  <si>
    <t>House Officer - Pre Registration</t>
  </si>
  <si>
    <t>Social Worker</t>
  </si>
  <si>
    <r>
      <t xml:space="preserve">Patient </t>
    </r>
    <r>
      <rPr>
        <sz val="11"/>
        <color rgb="FFFF0000"/>
        <rFont val="Aptos Narrow"/>
        <family val="2"/>
        <scheme val="minor"/>
      </rPr>
      <t>Welfare Officer</t>
    </r>
  </si>
  <si>
    <t>Social Care Support Worker</t>
  </si>
  <si>
    <t>Trust Grade Doctor - SHO level</t>
  </si>
  <si>
    <t>Other Community Health Service - Social Care Worker</t>
  </si>
  <si>
    <r>
      <rPr>
        <sz val="11"/>
        <color rgb="FFFF0000"/>
        <rFont val="Aptos Narrow"/>
        <family val="2"/>
        <scheme val="minor"/>
      </rPr>
      <t>Community Worker</t>
    </r>
    <r>
      <rPr>
        <sz val="11"/>
        <rFont val="Aptos Narrow"/>
        <family val="2"/>
        <scheme val="minor"/>
      </rPr>
      <t xml:space="preserve"> (children)</t>
    </r>
  </si>
  <si>
    <t>Approved Social Worker</t>
  </si>
  <si>
    <t>Intermediate Care worker</t>
  </si>
  <si>
    <t>Technician - Healthcare Scientists</t>
  </si>
  <si>
    <t>Healthcare Scientist</t>
  </si>
  <si>
    <t>Senior social worker (adults)</t>
  </si>
  <si>
    <t>Radiographer - Diagnostic, Specialist Practitioner</t>
  </si>
  <si>
    <t>Senior social worker (mental health)</t>
  </si>
  <si>
    <t>Nurse Manager</t>
  </si>
  <si>
    <t>Dental Assistant Clinical Director</t>
  </si>
  <si>
    <t>Staff Nurse</t>
  </si>
  <si>
    <t>Hospital based nurses, Staff nurse, midwife (entry level), theatre nurse, Band 5 Cost per hour</t>
  </si>
  <si>
    <t>Healthcare Cadet</t>
  </si>
  <si>
    <t>Nursery manager</t>
  </si>
  <si>
    <t>Gateway Worker</t>
  </si>
  <si>
    <t>Senior Manager</t>
  </si>
  <si>
    <t>Chief Executive</t>
  </si>
  <si>
    <t>Sister/Charge Nurse</t>
  </si>
  <si>
    <t>Hospital Practitioner</t>
  </si>
  <si>
    <t>Technician - Additional Clinical Services</t>
  </si>
  <si>
    <t>Nurse Consultant</t>
  </si>
  <si>
    <t>Waiting List Manager</t>
  </si>
  <si>
    <t>Outpatient Manager</t>
  </si>
  <si>
    <t>Radiographer - Diagnostic</t>
  </si>
  <si>
    <t>Midwife - Sister/Charge Nurse</t>
  </si>
  <si>
    <t>Student Community Practitioner</t>
  </si>
  <si>
    <t>Midwife - Consultant</t>
  </si>
  <si>
    <t>Dietitian Consultant</t>
  </si>
  <si>
    <t>Dietician cost per group session - PSSRU = £83, assuming 30 min encounter</t>
  </si>
  <si>
    <t>Physiotherapist Specialist Practitioner</t>
  </si>
  <si>
    <t>Physiotherapist specialist, occupational therapist specialist, speech and language therapist, podiatrist specialist, clinical psychology trainee, counsellor, pharmacist, arts therapist (entry level)</t>
  </si>
  <si>
    <t>Osteopath</t>
  </si>
  <si>
    <t>Art Therapist</t>
  </si>
  <si>
    <t>Healthcare Science Assistant</t>
  </si>
  <si>
    <t>Therapist</t>
  </si>
  <si>
    <t>Art Therapist Specialist Practitioner</t>
  </si>
  <si>
    <t>Interpreter</t>
  </si>
  <si>
    <t>Audit Manager</t>
  </si>
  <si>
    <t>Chiropodist/Podiatrist Specialist Practitioner</t>
  </si>
  <si>
    <t>Social work assistant (mental health)</t>
  </si>
  <si>
    <t>Chiropodist/Podiatrist Consultant</t>
  </si>
  <si>
    <t>Mental Health Act Administrator</t>
  </si>
  <si>
    <t>Technician - PS&amp;T</t>
  </si>
  <si>
    <t>Student Technician</t>
  </si>
  <si>
    <t>Radiographer - Diagnostic, Manager</t>
  </si>
  <si>
    <t>Art Therapist Consultant</t>
  </si>
  <si>
    <t>Occupational Therapy Specialist Practitioner</t>
  </si>
  <si>
    <t>Assistant Psychologist</t>
  </si>
  <si>
    <t>Support, Time, Recovery Worker</t>
  </si>
  <si>
    <t>Biomedical Scientist</t>
  </si>
  <si>
    <t>Multi Therapist</t>
  </si>
  <si>
    <t>Student Physiotherapist</t>
  </si>
  <si>
    <t>Complaints Investigator</t>
  </si>
  <si>
    <t>Social services care manager (adults)</t>
  </si>
  <si>
    <t>Multi Therapist Specialist Practitioner</t>
  </si>
  <si>
    <t>Directory of Services Coordinator</t>
  </si>
  <si>
    <t>Consultant</t>
  </si>
  <si>
    <t>Hospital-based doctors, Consultant medical, Cost per working hour (including qualifications) (143), assumed 30 minutes</t>
  </si>
  <si>
    <t>Physiotherapist Consultant</t>
  </si>
  <si>
    <t>Home Care organiser</t>
  </si>
  <si>
    <t>Director of Public Health</t>
  </si>
  <si>
    <t>Social work assistant (adults)</t>
  </si>
  <si>
    <t>Social work team manager (adults)</t>
  </si>
  <si>
    <t>Psychotherapist</t>
  </si>
  <si>
    <t>Clinical Psychologist</t>
  </si>
  <si>
    <t>Social services senior management</t>
  </si>
  <si>
    <t>Director of Nursing</t>
  </si>
  <si>
    <t>Chaplain</t>
  </si>
  <si>
    <t>Psychiatrist</t>
  </si>
  <si>
    <t>Regional Dental Officer</t>
  </si>
  <si>
    <t>Per hour of patient contact (Providing-Performer dentist) = £222, assuming 30 min encounter</t>
  </si>
  <si>
    <t>Specialist Healthcare Science Practitioner</t>
  </si>
  <si>
    <t>Optometrist</t>
  </si>
  <si>
    <t>National schedule of HNS costs 23-24, weighted mean of 1st and follow up OP (Non-Admitted Face-to-Face Atrendance) appointments with (Consultant/Non Consultant) audiologist (service code: 840, currency code: WF01A,WF01B)</t>
  </si>
  <si>
    <t>Trainee Scientist</t>
  </si>
  <si>
    <t>Student Health Visitor</t>
  </si>
  <si>
    <t>Other Executive Director</t>
  </si>
  <si>
    <t>Audiologist</t>
  </si>
  <si>
    <t>National schedule of HNS costs 23-24, weighted mean of 1st and follow up OP (Non-Admitted Face-to-Face Atrendance) appointments with (Consultant/Non Consultant) optometrist (service code: 662, currency code: WF01A,WF01B)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</si>
</sst>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43" fontId="4" fillId="0" borderId="0" xfId="1" applyFont="1" applyFill="1" applyBorder="1"/>
    <xf numFmtId="0" fontId="5" fillId="0" borderId="0" xfId="0" applyFont="1"/>
    <xf numFmtId="43" fontId="4" fillId="0" borderId="0" xfId="1" applyFont="1" applyFill="1" applyBorder="1" applyAlignment="1"/>
    <xf numFmtId="0" fontId="3" fillId="0" borderId="0" xfId="0" applyFont="1"/>
    <xf numFmtId="43" fontId="4" fillId="2" borderId="0" xfId="1" applyFont="1" applyFill="1" applyBorder="1"/>
  </cellXfs>
  <cellStyles count="4">
    <cellStyle name="Comma 2" xfId="2" xr:uid="{C93FE370-54C2-4E7D-B78B-D5F64D6ECB73}"/>
    <cellStyle name="Comma 3" xfId="1" xr:uid="{ADAAB3EB-E9D6-4DD9-9E08-BC15663ED64E}"/>
    <cellStyle name="Comma 3 2" xfId="3" xr:uid="{F89E4CF8-38E9-42B4-80E0-C2C120DDC9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464E-EA38-4A90-94D9-A0751CC594C3}">
  <sheetPr filterMode="1"/>
  <dimension ref="A1:E199"/>
  <sheetViews>
    <sheetView tabSelected="1" workbookViewId="0">
      <selection activeCell="D18" sqref="D18"/>
    </sheetView>
  </sheetViews>
  <sheetFormatPr defaultRowHeight="15"/>
  <cols>
    <col min="1" max="1" width="48.42578125" bestFit="1" customWidth="1"/>
    <col min="2" max="2" width="12.28515625" bestFit="1" customWidth="1"/>
    <col min="3" max="3" width="28.85546875" customWidth="1"/>
    <col min="4" max="4" width="70.7109375" customWidth="1"/>
    <col min="5" max="5" width="39.28515625" bestFit="1" customWidth="1"/>
  </cols>
  <sheetData>
    <row r="1" spans="1:5" ht="15.75">
      <c r="A1" s="1" t="s">
        <v>0</v>
      </c>
      <c r="B1" s="1" t="s">
        <v>1</v>
      </c>
      <c r="C1" s="6" t="s">
        <v>2</v>
      </c>
      <c r="D1" s="6" t="s">
        <v>3</v>
      </c>
      <c r="E1" s="1" t="s">
        <v>4</v>
      </c>
    </row>
    <row r="2" spans="1:5">
      <c r="A2" s="2" t="s">
        <v>5</v>
      </c>
      <c r="B2" s="2">
        <v>1</v>
      </c>
      <c r="C2" s="3">
        <f>(36/60)*10</f>
        <v>6</v>
      </c>
      <c r="D2" s="3" t="s">
        <v>6</v>
      </c>
      <c r="E2" s="3" t="s">
        <v>7</v>
      </c>
    </row>
    <row r="3" spans="1:5">
      <c r="A3" s="4" t="s">
        <v>8</v>
      </c>
      <c r="B3" s="2">
        <v>1</v>
      </c>
      <c r="C3" s="3">
        <f t="shared" ref="C3:C4" si="0">(36/60)*10</f>
        <v>6</v>
      </c>
      <c r="D3" s="3" t="s">
        <v>6</v>
      </c>
      <c r="E3" s="3" t="s">
        <v>7</v>
      </c>
    </row>
    <row r="4" spans="1:5">
      <c r="A4" s="2" t="s">
        <v>9</v>
      </c>
      <c r="B4" s="2">
        <v>1</v>
      </c>
      <c r="C4" s="3">
        <f t="shared" si="0"/>
        <v>6</v>
      </c>
      <c r="D4" s="3" t="s">
        <v>6</v>
      </c>
      <c r="E4" s="3" t="s">
        <v>7</v>
      </c>
    </row>
    <row r="5" spans="1:5" hidden="1">
      <c r="A5" s="2" t="s">
        <v>10</v>
      </c>
      <c r="B5" s="2">
        <v>0</v>
      </c>
    </row>
    <row r="6" spans="1:5" hidden="1">
      <c r="A6" s="2" t="s">
        <v>11</v>
      </c>
      <c r="B6" s="2">
        <v>0</v>
      </c>
    </row>
    <row r="7" spans="1:5" hidden="1">
      <c r="A7" s="2" t="s">
        <v>12</v>
      </c>
      <c r="B7" s="2">
        <v>0</v>
      </c>
    </row>
    <row r="8" spans="1:5" hidden="1">
      <c r="A8" s="2" t="s">
        <v>13</v>
      </c>
      <c r="B8" s="2">
        <v>0</v>
      </c>
      <c r="C8" s="3"/>
      <c r="D8" s="3"/>
      <c r="E8" s="3"/>
    </row>
    <row r="9" spans="1:5" hidden="1">
      <c r="A9" s="2" t="s">
        <v>14</v>
      </c>
      <c r="B9" s="2">
        <v>0</v>
      </c>
    </row>
    <row r="10" spans="1:5" hidden="1">
      <c r="A10" s="2" t="s">
        <v>15</v>
      </c>
      <c r="B10" s="2">
        <v>0</v>
      </c>
    </row>
    <row r="11" spans="1:5">
      <c r="A11" s="4" t="s">
        <v>16</v>
      </c>
      <c r="B11" s="2">
        <v>1</v>
      </c>
      <c r="C11" s="3">
        <v>11.75</v>
      </c>
      <c r="D11" s="3" t="s">
        <v>17</v>
      </c>
      <c r="E11" s="3" t="s">
        <v>7</v>
      </c>
    </row>
    <row r="12" spans="1:5" hidden="1">
      <c r="A12" s="2" t="s">
        <v>18</v>
      </c>
      <c r="B12" s="2">
        <v>0</v>
      </c>
    </row>
    <row r="13" spans="1:5" hidden="1">
      <c r="A13" s="2" t="s">
        <v>19</v>
      </c>
      <c r="B13" s="2">
        <v>0</v>
      </c>
      <c r="C13" s="3"/>
      <c r="D13" s="3"/>
      <c r="E13" s="3"/>
    </row>
    <row r="14" spans="1:5" hidden="1">
      <c r="A14" s="2" t="s">
        <v>20</v>
      </c>
      <c r="B14" s="2">
        <v>0</v>
      </c>
    </row>
    <row r="15" spans="1:5" hidden="1">
      <c r="A15" s="2" t="s">
        <v>21</v>
      </c>
      <c r="B15" s="2">
        <v>0</v>
      </c>
    </row>
    <row r="16" spans="1:5" hidden="1">
      <c r="A16" s="2" t="s">
        <v>22</v>
      </c>
      <c r="B16" s="2">
        <v>0</v>
      </c>
      <c r="C16" s="3"/>
      <c r="D16" s="3"/>
      <c r="E16" s="3"/>
    </row>
    <row r="17" spans="1:5" hidden="1">
      <c r="A17" s="2" t="s">
        <v>23</v>
      </c>
      <c r="B17" s="2">
        <v>0</v>
      </c>
    </row>
    <row r="18" spans="1:5">
      <c r="A18" s="4" t="s">
        <v>24</v>
      </c>
      <c r="B18" s="2">
        <v>1</v>
      </c>
      <c r="C18" s="3">
        <v>19.196153846153848</v>
      </c>
      <c r="D18" s="3" t="s">
        <v>25</v>
      </c>
      <c r="E18" s="3" t="s">
        <v>7</v>
      </c>
    </row>
    <row r="19" spans="1:5">
      <c r="A19" s="4" t="s">
        <v>26</v>
      </c>
      <c r="B19" s="2">
        <v>1</v>
      </c>
      <c r="C19" s="7">
        <v>19.196153846153848</v>
      </c>
      <c r="D19" s="7" t="s">
        <v>27</v>
      </c>
      <c r="E19" s="3" t="s">
        <v>28</v>
      </c>
    </row>
    <row r="20" spans="1:5" hidden="1">
      <c r="A20" s="2" t="s">
        <v>29</v>
      </c>
      <c r="B20" s="2">
        <v>0</v>
      </c>
    </row>
    <row r="21" spans="1:5">
      <c r="A21" s="4" t="s">
        <v>30</v>
      </c>
      <c r="B21" s="2">
        <v>1</v>
      </c>
      <c r="C21" s="7">
        <v>19.196153846153848</v>
      </c>
      <c r="D21" s="7" t="s">
        <v>27</v>
      </c>
      <c r="E21" s="3" t="s">
        <v>7</v>
      </c>
    </row>
    <row r="22" spans="1:5" hidden="1">
      <c r="A22" s="2" t="s">
        <v>31</v>
      </c>
      <c r="B22" s="2">
        <v>0</v>
      </c>
    </row>
    <row r="23" spans="1:5" hidden="1">
      <c r="A23" s="2" t="s">
        <v>32</v>
      </c>
      <c r="B23" s="2">
        <v>0</v>
      </c>
    </row>
    <row r="24" spans="1:5">
      <c r="A24" s="4" t="s">
        <v>33</v>
      </c>
      <c r="B24" s="2">
        <v>1</v>
      </c>
      <c r="C24" s="7">
        <v>19.196153846153848</v>
      </c>
      <c r="D24" s="7" t="s">
        <v>27</v>
      </c>
      <c r="E24" s="3" t="s">
        <v>28</v>
      </c>
    </row>
    <row r="25" spans="1:5" hidden="1">
      <c r="A25" s="2" t="s">
        <v>34</v>
      </c>
      <c r="B25" s="2">
        <v>0</v>
      </c>
      <c r="C25" s="3"/>
      <c r="D25" s="3"/>
      <c r="E25" s="3"/>
    </row>
    <row r="26" spans="1:5" hidden="1">
      <c r="A26" s="2" t="s">
        <v>35</v>
      </c>
      <c r="B26" s="2">
        <v>0</v>
      </c>
    </row>
    <row r="27" spans="1:5" hidden="1">
      <c r="A27" s="2" t="s">
        <v>36</v>
      </c>
      <c r="B27" s="2">
        <v>0</v>
      </c>
      <c r="C27" s="3"/>
      <c r="D27" s="3"/>
      <c r="E27" s="3"/>
    </row>
    <row r="28" spans="1:5" hidden="1">
      <c r="A28" s="2" t="s">
        <v>37</v>
      </c>
      <c r="B28" s="2">
        <v>0</v>
      </c>
    </row>
    <row r="29" spans="1:5" hidden="1">
      <c r="A29" s="2" t="s">
        <v>38</v>
      </c>
      <c r="B29" s="2">
        <v>0</v>
      </c>
    </row>
    <row r="30" spans="1:5" hidden="1">
      <c r="A30" s="2" t="s">
        <v>39</v>
      </c>
      <c r="B30" s="2">
        <v>0</v>
      </c>
      <c r="C30" s="3"/>
      <c r="D30" s="3"/>
      <c r="E30" s="3"/>
    </row>
    <row r="31" spans="1:5">
      <c r="A31" s="4" t="s">
        <v>40</v>
      </c>
      <c r="B31" s="2">
        <v>1</v>
      </c>
      <c r="C31" s="7">
        <v>19.196153846153848</v>
      </c>
      <c r="D31" s="7" t="s">
        <v>27</v>
      </c>
      <c r="E31" s="3" t="s">
        <v>7</v>
      </c>
    </row>
    <row r="32" spans="1:5" hidden="1">
      <c r="A32" s="2" t="s">
        <v>41</v>
      </c>
      <c r="B32" s="2">
        <v>0</v>
      </c>
    </row>
    <row r="33" spans="1:5">
      <c r="A33" s="4" t="s">
        <v>42</v>
      </c>
      <c r="B33" s="2">
        <v>1</v>
      </c>
      <c r="C33" s="7">
        <v>19.196153846153848</v>
      </c>
      <c r="D33" s="7" t="s">
        <v>27</v>
      </c>
      <c r="E33" s="3" t="s">
        <v>28</v>
      </c>
    </row>
    <row r="34" spans="1:5" hidden="1">
      <c r="A34" s="2" t="s">
        <v>43</v>
      </c>
      <c r="B34" s="2">
        <v>0</v>
      </c>
    </row>
    <row r="35" spans="1:5" hidden="1">
      <c r="A35" s="2" t="s">
        <v>44</v>
      </c>
      <c r="B35" s="2">
        <v>0</v>
      </c>
    </row>
    <row r="36" spans="1:5" hidden="1">
      <c r="A36" s="2" t="s">
        <v>45</v>
      </c>
      <c r="B36" s="2">
        <v>0</v>
      </c>
    </row>
    <row r="37" spans="1:5" hidden="1">
      <c r="A37" s="2" t="s">
        <v>46</v>
      </c>
      <c r="B37" s="2">
        <v>0</v>
      </c>
    </row>
    <row r="38" spans="1:5" hidden="1">
      <c r="A38" s="2" t="s">
        <v>47</v>
      </c>
      <c r="B38" s="2">
        <v>0</v>
      </c>
    </row>
    <row r="39" spans="1:5" hidden="1">
      <c r="A39" s="2" t="s">
        <v>48</v>
      </c>
      <c r="B39" s="2">
        <v>0</v>
      </c>
    </row>
    <row r="40" spans="1:5">
      <c r="A40" s="2" t="s">
        <v>49</v>
      </c>
      <c r="B40" s="2">
        <v>1</v>
      </c>
      <c r="C40" s="7">
        <v>19.196153846153848</v>
      </c>
      <c r="D40" s="7" t="s">
        <v>27</v>
      </c>
      <c r="E40" s="3" t="s">
        <v>7</v>
      </c>
    </row>
    <row r="41" spans="1:5" hidden="1">
      <c r="A41" s="2" t="s">
        <v>50</v>
      </c>
      <c r="B41" s="2">
        <v>0</v>
      </c>
    </row>
    <row r="42" spans="1:5" hidden="1">
      <c r="A42" s="2" t="s">
        <v>51</v>
      </c>
      <c r="B42" s="2">
        <v>0</v>
      </c>
    </row>
    <row r="43" spans="1:5">
      <c r="A43" s="2" t="s">
        <v>52</v>
      </c>
      <c r="B43" s="2">
        <v>1</v>
      </c>
      <c r="C43" s="7">
        <v>19.196153846153848</v>
      </c>
      <c r="D43" s="7" t="s">
        <v>27</v>
      </c>
      <c r="E43" s="3" t="s">
        <v>28</v>
      </c>
    </row>
    <row r="44" spans="1:5">
      <c r="A44" s="4" t="s">
        <v>53</v>
      </c>
      <c r="B44" s="2">
        <v>1</v>
      </c>
      <c r="C44" s="7">
        <v>19.196153846153848</v>
      </c>
      <c r="D44" s="7" t="s">
        <v>27</v>
      </c>
      <c r="E44" s="3" t="s">
        <v>28</v>
      </c>
    </row>
    <row r="45" spans="1:5" hidden="1">
      <c r="A45" s="2" t="s">
        <v>54</v>
      </c>
      <c r="B45" s="2">
        <v>0</v>
      </c>
    </row>
    <row r="46" spans="1:5">
      <c r="A46" s="4" t="s">
        <v>55</v>
      </c>
      <c r="B46" s="2">
        <v>1</v>
      </c>
      <c r="C46" s="3">
        <v>23.5</v>
      </c>
      <c r="D46" s="3" t="s">
        <v>56</v>
      </c>
      <c r="E46" s="3" t="s">
        <v>7</v>
      </c>
    </row>
    <row r="47" spans="1:5">
      <c r="A47" s="2" t="s">
        <v>57</v>
      </c>
      <c r="B47" s="2">
        <v>1</v>
      </c>
      <c r="C47" s="7">
        <v>26.74540816326531</v>
      </c>
      <c r="D47" s="7" t="s">
        <v>58</v>
      </c>
      <c r="E47" s="3" t="s">
        <v>7</v>
      </c>
    </row>
    <row r="48" spans="1:5" hidden="1">
      <c r="A48" s="2" t="s">
        <v>59</v>
      </c>
      <c r="B48" s="2">
        <v>0</v>
      </c>
      <c r="C48" s="3">
        <v>26.74540816326531</v>
      </c>
      <c r="D48" s="3" t="s">
        <v>58</v>
      </c>
    </row>
    <row r="49" spans="1:5">
      <c r="A49" s="4" t="s">
        <v>60</v>
      </c>
      <c r="B49" s="2">
        <v>1</v>
      </c>
      <c r="C49" s="7">
        <v>26.74540816326531</v>
      </c>
      <c r="D49" s="7" t="s">
        <v>58</v>
      </c>
      <c r="E49" s="3" t="s">
        <v>7</v>
      </c>
    </row>
    <row r="50" spans="1:5" hidden="1">
      <c r="A50" s="2" t="s">
        <v>61</v>
      </c>
      <c r="B50" s="2">
        <v>0</v>
      </c>
      <c r="C50" s="3">
        <v>26.74540816326531</v>
      </c>
      <c r="D50" s="3" t="s">
        <v>58</v>
      </c>
    </row>
    <row r="51" spans="1:5" hidden="1">
      <c r="A51" s="2" t="s">
        <v>62</v>
      </c>
      <c r="B51" s="2">
        <v>0</v>
      </c>
      <c r="C51" s="3">
        <v>26.74540816326531</v>
      </c>
      <c r="D51" s="3" t="s">
        <v>58</v>
      </c>
    </row>
    <row r="52" spans="1:5" hidden="1">
      <c r="A52" s="2" t="s">
        <v>63</v>
      </c>
      <c r="B52" s="2">
        <v>0</v>
      </c>
    </row>
    <row r="53" spans="1:5" hidden="1">
      <c r="A53" s="2" t="s">
        <v>64</v>
      </c>
      <c r="B53" s="2">
        <v>0</v>
      </c>
      <c r="C53" s="3"/>
      <c r="D53" s="3"/>
      <c r="E53" s="3"/>
    </row>
    <row r="54" spans="1:5">
      <c r="A54" s="2" t="s">
        <v>65</v>
      </c>
      <c r="B54" s="2">
        <v>1</v>
      </c>
      <c r="C54" s="7">
        <v>26.74540816326531</v>
      </c>
      <c r="D54" s="7" t="s">
        <v>58</v>
      </c>
      <c r="E54" s="3" t="s">
        <v>28</v>
      </c>
    </row>
    <row r="55" spans="1:5">
      <c r="A55" s="2" t="s">
        <v>66</v>
      </c>
      <c r="B55" s="2">
        <v>1</v>
      </c>
      <c r="C55" s="7">
        <v>26.74540816326531</v>
      </c>
      <c r="D55" s="7" t="s">
        <v>58</v>
      </c>
      <c r="E55" s="3" t="s">
        <v>28</v>
      </c>
    </row>
    <row r="56" spans="1:5">
      <c r="A56" s="2" t="s">
        <v>67</v>
      </c>
      <c r="B56" s="2">
        <v>1</v>
      </c>
      <c r="C56" s="7">
        <v>26.74540816326531</v>
      </c>
      <c r="D56" s="7" t="s">
        <v>58</v>
      </c>
      <c r="E56" s="3" t="s">
        <v>28</v>
      </c>
    </row>
    <row r="57" spans="1:5">
      <c r="A57" s="4" t="s">
        <v>68</v>
      </c>
      <c r="B57" s="2">
        <v>1</v>
      </c>
      <c r="C57" s="3">
        <v>25.75</v>
      </c>
      <c r="D57" s="3" t="s">
        <v>69</v>
      </c>
      <c r="E57" s="3" t="s">
        <v>7</v>
      </c>
    </row>
    <row r="58" spans="1:5" hidden="1">
      <c r="A58" s="2" t="s">
        <v>70</v>
      </c>
      <c r="B58" s="2">
        <v>0</v>
      </c>
    </row>
    <row r="59" spans="1:5">
      <c r="A59" s="4" t="s">
        <v>71</v>
      </c>
      <c r="B59" s="2">
        <v>1</v>
      </c>
      <c r="C59" s="3">
        <v>28.5</v>
      </c>
      <c r="D59" s="3" t="s">
        <v>72</v>
      </c>
      <c r="E59" s="3" t="s">
        <v>7</v>
      </c>
    </row>
    <row r="60" spans="1:5" hidden="1">
      <c r="A60" s="2" t="s">
        <v>73</v>
      </c>
      <c r="B60" s="2">
        <v>0</v>
      </c>
    </row>
    <row r="61" spans="1:5" hidden="1">
      <c r="A61" s="2" t="s">
        <v>74</v>
      </c>
      <c r="B61" s="2">
        <v>0</v>
      </c>
    </row>
    <row r="62" spans="1:5" hidden="1">
      <c r="A62" s="2" t="s">
        <v>75</v>
      </c>
      <c r="B62" s="2">
        <v>0</v>
      </c>
    </row>
    <row r="63" spans="1:5">
      <c r="A63" s="2" t="s">
        <v>76</v>
      </c>
      <c r="B63" s="2">
        <v>1</v>
      </c>
      <c r="C63" s="3">
        <f>(52/4)*2.44</f>
        <v>31.72</v>
      </c>
      <c r="D63" s="3" t="s">
        <v>77</v>
      </c>
      <c r="E63" s="3" t="s">
        <v>7</v>
      </c>
    </row>
    <row r="64" spans="1:5">
      <c r="A64" s="2" t="s">
        <v>78</v>
      </c>
      <c r="B64" s="2">
        <v>1</v>
      </c>
      <c r="C64" s="3">
        <f t="shared" ref="C64:C65" si="1">(52/4)*2.44</f>
        <v>31.72</v>
      </c>
      <c r="D64" s="3" t="s">
        <v>77</v>
      </c>
      <c r="E64" s="3" t="s">
        <v>7</v>
      </c>
    </row>
    <row r="65" spans="1:5">
      <c r="A65" s="2" t="s">
        <v>79</v>
      </c>
      <c r="B65" s="2">
        <v>1</v>
      </c>
      <c r="C65" s="3">
        <f t="shared" si="1"/>
        <v>31.72</v>
      </c>
      <c r="D65" s="3" t="s">
        <v>77</v>
      </c>
      <c r="E65" s="3" t="s">
        <v>7</v>
      </c>
    </row>
    <row r="66" spans="1:5" hidden="1">
      <c r="A66" s="2" t="s">
        <v>80</v>
      </c>
      <c r="B66" s="2">
        <v>0</v>
      </c>
    </row>
    <row r="67" spans="1:5" hidden="1">
      <c r="B67" s="2">
        <v>0</v>
      </c>
    </row>
    <row r="68" spans="1:5" hidden="1">
      <c r="A68" s="2" t="s">
        <v>81</v>
      </c>
      <c r="B68" s="2">
        <v>0</v>
      </c>
    </row>
    <row r="69" spans="1:5" hidden="1">
      <c r="A69" s="2" t="s">
        <v>82</v>
      </c>
      <c r="B69" s="2">
        <v>0</v>
      </c>
    </row>
    <row r="70" spans="1:5" hidden="1">
      <c r="A70" s="2" t="s">
        <v>83</v>
      </c>
      <c r="B70" s="2">
        <v>0</v>
      </c>
    </row>
    <row r="71" spans="1:5">
      <c r="A71" s="4" t="s">
        <v>84</v>
      </c>
      <c r="B71" s="2">
        <v>1</v>
      </c>
      <c r="C71" s="3">
        <f t="shared" ref="C71:C73" si="2">(52/4)*2.44</f>
        <v>31.72</v>
      </c>
      <c r="D71" s="3" t="s">
        <v>77</v>
      </c>
      <c r="E71" s="3" t="s">
        <v>7</v>
      </c>
    </row>
    <row r="72" spans="1:5">
      <c r="A72" s="4" t="s">
        <v>85</v>
      </c>
      <c r="B72" s="2">
        <v>1</v>
      </c>
      <c r="C72" s="3">
        <f t="shared" si="2"/>
        <v>31.72</v>
      </c>
      <c r="D72" s="3" t="s">
        <v>77</v>
      </c>
      <c r="E72" s="3" t="s">
        <v>7</v>
      </c>
    </row>
    <row r="73" spans="1:5">
      <c r="A73" s="2" t="s">
        <v>86</v>
      </c>
      <c r="B73" s="2">
        <v>1</v>
      </c>
      <c r="C73" s="3">
        <f t="shared" si="2"/>
        <v>31.72</v>
      </c>
      <c r="D73" s="3" t="s">
        <v>77</v>
      </c>
      <c r="E73" s="3" t="s">
        <v>28</v>
      </c>
    </row>
    <row r="74" spans="1:5" hidden="1">
      <c r="A74" s="2" t="s">
        <v>87</v>
      </c>
      <c r="B74" s="2">
        <v>0</v>
      </c>
    </row>
    <row r="75" spans="1:5" hidden="1">
      <c r="A75" s="2" t="s">
        <v>88</v>
      </c>
      <c r="B75" s="2">
        <v>0</v>
      </c>
    </row>
    <row r="76" spans="1:5" hidden="1">
      <c r="A76" s="2" t="s">
        <v>89</v>
      </c>
      <c r="B76" s="2">
        <v>0</v>
      </c>
    </row>
    <row r="77" spans="1:5" hidden="1">
      <c r="A77" s="2" t="s">
        <v>90</v>
      </c>
      <c r="B77" s="2">
        <v>0</v>
      </c>
    </row>
    <row r="78" spans="1:5">
      <c r="A78" s="2" t="s">
        <v>91</v>
      </c>
      <c r="B78" s="2">
        <v>1</v>
      </c>
      <c r="C78" s="3">
        <f>(52/4)*2.44</f>
        <v>31.72</v>
      </c>
      <c r="D78" s="3" t="s">
        <v>77</v>
      </c>
      <c r="E78" s="3" t="s">
        <v>28</v>
      </c>
    </row>
    <row r="79" spans="1:5" hidden="1">
      <c r="A79" s="2" t="s">
        <v>92</v>
      </c>
      <c r="B79" s="2">
        <v>0</v>
      </c>
    </row>
    <row r="80" spans="1:5" hidden="1">
      <c r="A80" s="2" t="s">
        <v>93</v>
      </c>
      <c r="B80" s="2">
        <v>0</v>
      </c>
    </row>
    <row r="81" spans="1:5">
      <c r="A81" s="2" t="s">
        <v>94</v>
      </c>
      <c r="B81" s="2">
        <v>1</v>
      </c>
      <c r="C81" s="3">
        <v>42</v>
      </c>
      <c r="D81" s="3" t="s">
        <v>95</v>
      </c>
      <c r="E81" s="3" t="s">
        <v>96</v>
      </c>
    </row>
    <row r="82" spans="1:5" hidden="1">
      <c r="A82" s="2" t="s">
        <v>97</v>
      </c>
      <c r="B82" s="2">
        <v>0</v>
      </c>
    </row>
    <row r="83" spans="1:5">
      <c r="A83" s="2" t="s">
        <v>98</v>
      </c>
      <c r="B83" s="2">
        <v>1</v>
      </c>
      <c r="C83" s="3">
        <v>42</v>
      </c>
      <c r="D83" s="3" t="s">
        <v>95</v>
      </c>
      <c r="E83" s="3" t="s">
        <v>96</v>
      </c>
    </row>
    <row r="84" spans="1:5">
      <c r="A84" s="2" t="s">
        <v>99</v>
      </c>
      <c r="B84" s="2">
        <v>1</v>
      </c>
      <c r="C84" s="3">
        <v>42</v>
      </c>
      <c r="D84" s="3" t="s">
        <v>95</v>
      </c>
      <c r="E84" s="3" t="s">
        <v>96</v>
      </c>
    </row>
    <row r="85" spans="1:5">
      <c r="A85" s="2" t="s">
        <v>100</v>
      </c>
      <c r="B85" s="2">
        <v>1</v>
      </c>
      <c r="C85" s="3">
        <v>42</v>
      </c>
      <c r="D85" s="3" t="s">
        <v>95</v>
      </c>
      <c r="E85" s="3" t="s">
        <v>96</v>
      </c>
    </row>
    <row r="86" spans="1:5">
      <c r="A86" s="2" t="s">
        <v>101</v>
      </c>
      <c r="B86" s="2">
        <v>1</v>
      </c>
      <c r="C86" s="3">
        <v>42</v>
      </c>
      <c r="D86" s="3" t="s">
        <v>95</v>
      </c>
      <c r="E86" s="3" t="s">
        <v>96</v>
      </c>
    </row>
    <row r="87" spans="1:5">
      <c r="A87" s="2" t="s">
        <v>102</v>
      </c>
      <c r="B87" s="2">
        <v>1</v>
      </c>
      <c r="C87" s="3">
        <v>42</v>
      </c>
      <c r="D87" s="3" t="s">
        <v>95</v>
      </c>
      <c r="E87" s="3" t="s">
        <v>96</v>
      </c>
    </row>
    <row r="88" spans="1:5">
      <c r="A88" s="2" t="s">
        <v>103</v>
      </c>
      <c r="B88" s="2">
        <v>1</v>
      </c>
      <c r="C88" s="3">
        <v>42</v>
      </c>
      <c r="D88" s="3" t="s">
        <v>95</v>
      </c>
      <c r="E88" s="3" t="s">
        <v>96</v>
      </c>
    </row>
    <row r="89" spans="1:5">
      <c r="A89" s="4" t="s">
        <v>104</v>
      </c>
      <c r="B89" s="2">
        <v>1</v>
      </c>
      <c r="C89" s="3">
        <v>42</v>
      </c>
      <c r="D89" s="3" t="s">
        <v>95</v>
      </c>
      <c r="E89" s="3" t="s">
        <v>7</v>
      </c>
    </row>
    <row r="90" spans="1:5" hidden="1">
      <c r="A90" s="2" t="s">
        <v>105</v>
      </c>
      <c r="B90" s="2">
        <v>0</v>
      </c>
    </row>
    <row r="91" spans="1:5">
      <c r="A91" s="4" t="s">
        <v>106</v>
      </c>
      <c r="B91" s="2">
        <v>1</v>
      </c>
      <c r="C91" s="3">
        <v>42</v>
      </c>
      <c r="D91" s="3" t="s">
        <v>95</v>
      </c>
      <c r="E91" s="3" t="s">
        <v>7</v>
      </c>
    </row>
    <row r="92" spans="1:5" hidden="1">
      <c r="A92" s="2" t="s">
        <v>107</v>
      </c>
      <c r="B92" s="2">
        <v>0</v>
      </c>
    </row>
    <row r="93" spans="1:5">
      <c r="A93" s="4" t="s">
        <v>108</v>
      </c>
      <c r="B93" s="2">
        <v>1</v>
      </c>
      <c r="C93" s="3">
        <v>42</v>
      </c>
      <c r="D93" s="3" t="s">
        <v>95</v>
      </c>
      <c r="E93" s="3" t="s">
        <v>7</v>
      </c>
    </row>
    <row r="94" spans="1:5">
      <c r="A94" s="4" t="s">
        <v>109</v>
      </c>
      <c r="B94" s="2">
        <v>1</v>
      </c>
      <c r="C94" s="3">
        <v>42</v>
      </c>
      <c r="D94" s="3" t="s">
        <v>95</v>
      </c>
      <c r="E94" s="3" t="s">
        <v>7</v>
      </c>
    </row>
    <row r="95" spans="1:5" hidden="1">
      <c r="A95" s="2" t="s">
        <v>110</v>
      </c>
      <c r="B95" s="2">
        <v>0</v>
      </c>
    </row>
    <row r="96" spans="1:5">
      <c r="A96" s="2" t="s">
        <v>111</v>
      </c>
      <c r="B96" s="2">
        <v>1</v>
      </c>
      <c r="C96" s="3">
        <v>42</v>
      </c>
      <c r="D96" s="3" t="s">
        <v>95</v>
      </c>
      <c r="E96" s="3" t="s">
        <v>7</v>
      </c>
    </row>
    <row r="97" spans="1:5" hidden="1">
      <c r="A97" s="2" t="s">
        <v>112</v>
      </c>
      <c r="B97" s="2">
        <v>0</v>
      </c>
    </row>
    <row r="98" spans="1:5">
      <c r="A98" s="2" t="s">
        <v>113</v>
      </c>
      <c r="B98" s="2">
        <v>1</v>
      </c>
      <c r="C98" s="3">
        <v>42</v>
      </c>
      <c r="D98" s="3" t="s">
        <v>95</v>
      </c>
      <c r="E98" s="3" t="s">
        <v>7</v>
      </c>
    </row>
    <row r="99" spans="1:5">
      <c r="A99" s="2" t="s">
        <v>114</v>
      </c>
      <c r="B99" s="2">
        <v>1</v>
      </c>
      <c r="C99" s="3">
        <v>42</v>
      </c>
      <c r="D99" s="3" t="s">
        <v>95</v>
      </c>
      <c r="E99" s="3" t="s">
        <v>7</v>
      </c>
    </row>
    <row r="100" spans="1:5">
      <c r="A100" s="4" t="s">
        <v>115</v>
      </c>
      <c r="B100" s="2">
        <v>1</v>
      </c>
      <c r="C100" s="3">
        <v>42</v>
      </c>
      <c r="D100" s="3" t="s">
        <v>95</v>
      </c>
      <c r="E100" s="3" t="s">
        <v>7</v>
      </c>
    </row>
    <row r="101" spans="1:5">
      <c r="A101" s="4" t="s">
        <v>116</v>
      </c>
      <c r="B101" s="2">
        <v>1</v>
      </c>
      <c r="C101" s="3">
        <v>42</v>
      </c>
      <c r="D101" s="3" t="s">
        <v>95</v>
      </c>
      <c r="E101" s="3" t="s">
        <v>7</v>
      </c>
    </row>
    <row r="102" spans="1:5" hidden="1">
      <c r="A102" s="2" t="s">
        <v>117</v>
      </c>
      <c r="B102" s="2">
        <v>0</v>
      </c>
    </row>
    <row r="103" spans="1:5">
      <c r="A103" s="4" t="s">
        <v>118</v>
      </c>
      <c r="B103" s="2">
        <v>1</v>
      </c>
      <c r="C103" s="3">
        <v>42</v>
      </c>
      <c r="D103" s="3" t="s">
        <v>95</v>
      </c>
      <c r="E103" s="3" t="s">
        <v>7</v>
      </c>
    </row>
    <row r="104" spans="1:5">
      <c r="A104" s="4" t="s">
        <v>119</v>
      </c>
      <c r="B104" s="2">
        <v>1</v>
      </c>
      <c r="C104" s="3">
        <v>42</v>
      </c>
      <c r="D104" s="3" t="s">
        <v>95</v>
      </c>
      <c r="E104" s="3" t="s">
        <v>7</v>
      </c>
    </row>
    <row r="105" spans="1:5">
      <c r="A105" s="4" t="s">
        <v>120</v>
      </c>
      <c r="B105" s="2">
        <v>1</v>
      </c>
      <c r="C105" s="3">
        <v>42</v>
      </c>
      <c r="D105" s="3" t="s">
        <v>95</v>
      </c>
      <c r="E105" s="3" t="s">
        <v>7</v>
      </c>
    </row>
    <row r="106" spans="1:5" hidden="1">
      <c r="A106" s="2" t="s">
        <v>121</v>
      </c>
      <c r="B106" s="2">
        <v>0</v>
      </c>
    </row>
    <row r="107" spans="1:5">
      <c r="A107" s="2" t="s">
        <v>122</v>
      </c>
      <c r="B107" s="2">
        <v>1</v>
      </c>
      <c r="C107" s="3">
        <v>41</v>
      </c>
      <c r="D107" s="3" t="s">
        <v>123</v>
      </c>
      <c r="E107" s="3" t="s">
        <v>7</v>
      </c>
    </row>
    <row r="108" spans="1:5" hidden="1">
      <c r="A108" s="2" t="s">
        <v>124</v>
      </c>
      <c r="B108" s="2">
        <v>0</v>
      </c>
    </row>
    <row r="109" spans="1:5" hidden="1">
      <c r="A109" s="2" t="s">
        <v>125</v>
      </c>
      <c r="B109" s="2">
        <v>0</v>
      </c>
    </row>
    <row r="110" spans="1:5" hidden="1">
      <c r="A110" s="2" t="s">
        <v>126</v>
      </c>
      <c r="B110" s="2">
        <v>0</v>
      </c>
    </row>
    <row r="111" spans="1:5">
      <c r="A111" s="2" t="s">
        <v>127</v>
      </c>
      <c r="B111" s="2">
        <v>1</v>
      </c>
      <c r="C111" s="3">
        <v>41</v>
      </c>
      <c r="D111" s="3" t="s">
        <v>123</v>
      </c>
      <c r="E111" s="3" t="s">
        <v>7</v>
      </c>
    </row>
    <row r="112" spans="1:5">
      <c r="A112" s="2" t="s">
        <v>128</v>
      </c>
      <c r="B112" s="2">
        <v>1</v>
      </c>
      <c r="C112" s="3">
        <v>39</v>
      </c>
      <c r="D112" s="3" t="s">
        <v>129</v>
      </c>
      <c r="E112" s="3" t="s">
        <v>7</v>
      </c>
    </row>
    <row r="113" spans="1:5" hidden="1">
      <c r="A113" s="2" t="s">
        <v>130</v>
      </c>
      <c r="B113" s="2">
        <v>0</v>
      </c>
    </row>
    <row r="114" spans="1:5" hidden="1">
      <c r="A114" s="2" t="s">
        <v>131</v>
      </c>
      <c r="B114" s="2">
        <v>0</v>
      </c>
    </row>
    <row r="115" spans="1:5" hidden="1">
      <c r="A115" s="2" t="s">
        <v>132</v>
      </c>
      <c r="B115" s="2">
        <v>0</v>
      </c>
    </row>
    <row r="116" spans="1:5" hidden="1">
      <c r="A116" s="2" t="s">
        <v>133</v>
      </c>
      <c r="B116" s="2">
        <v>0</v>
      </c>
    </row>
    <row r="117" spans="1:5" hidden="1">
      <c r="A117" s="2" t="s">
        <v>134</v>
      </c>
      <c r="B117" s="2">
        <v>0</v>
      </c>
    </row>
    <row r="118" spans="1:5">
      <c r="A118" s="2" t="s">
        <v>135</v>
      </c>
      <c r="B118" s="2">
        <v>1</v>
      </c>
      <c r="C118" s="3">
        <v>41</v>
      </c>
      <c r="D118" s="3" t="s">
        <v>123</v>
      </c>
      <c r="E118" s="3" t="s">
        <v>7</v>
      </c>
    </row>
    <row r="119" spans="1:5">
      <c r="A119" s="2" t="s">
        <v>136</v>
      </c>
      <c r="B119" s="2">
        <v>1</v>
      </c>
      <c r="C119" s="3">
        <v>41</v>
      </c>
      <c r="D119" s="3" t="s">
        <v>123</v>
      </c>
      <c r="E119" s="3" t="s">
        <v>7</v>
      </c>
    </row>
    <row r="120" spans="1:5">
      <c r="A120" s="4" t="s">
        <v>137</v>
      </c>
      <c r="B120" s="2">
        <v>1</v>
      </c>
      <c r="C120" s="3">
        <v>39</v>
      </c>
      <c r="D120" s="3" t="s">
        <v>129</v>
      </c>
      <c r="E120" s="3" t="s">
        <v>7</v>
      </c>
    </row>
    <row r="121" spans="1:5">
      <c r="A121" s="4" t="s">
        <v>138</v>
      </c>
      <c r="B121" s="2">
        <v>1</v>
      </c>
      <c r="C121" s="3">
        <v>44</v>
      </c>
      <c r="D121" s="3" t="s">
        <v>139</v>
      </c>
      <c r="E121" s="3" t="s">
        <v>7</v>
      </c>
    </row>
    <row r="122" spans="1:5" hidden="1">
      <c r="A122" s="2" t="s">
        <v>140</v>
      </c>
      <c r="B122" s="2">
        <v>0</v>
      </c>
    </row>
    <row r="123" spans="1:5">
      <c r="A123" s="2" t="s">
        <v>141</v>
      </c>
      <c r="B123" s="2">
        <v>1</v>
      </c>
      <c r="C123" s="3">
        <v>44</v>
      </c>
      <c r="D123" s="3" t="s">
        <v>139</v>
      </c>
      <c r="E123" s="3" t="s">
        <v>7</v>
      </c>
    </row>
    <row r="124" spans="1:5">
      <c r="A124" s="2" t="s">
        <v>142</v>
      </c>
      <c r="B124" s="2">
        <v>1</v>
      </c>
      <c r="C124" s="3">
        <v>44</v>
      </c>
      <c r="D124" s="3" t="s">
        <v>139</v>
      </c>
      <c r="E124" s="3" t="s">
        <v>7</v>
      </c>
    </row>
    <row r="125" spans="1:5">
      <c r="A125" s="4" t="s">
        <v>143</v>
      </c>
      <c r="B125" s="2">
        <v>1</v>
      </c>
      <c r="C125" s="3">
        <v>44</v>
      </c>
      <c r="D125" s="3" t="s">
        <v>139</v>
      </c>
      <c r="E125" s="3" t="s">
        <v>7</v>
      </c>
    </row>
    <row r="126" spans="1:5" hidden="1">
      <c r="A126" s="2" t="s">
        <v>144</v>
      </c>
      <c r="B126" s="2">
        <v>0</v>
      </c>
    </row>
    <row r="127" spans="1:5">
      <c r="A127" s="4" t="s">
        <v>145</v>
      </c>
      <c r="B127" s="2">
        <v>1</v>
      </c>
      <c r="C127" s="3">
        <v>44</v>
      </c>
      <c r="D127" s="3" t="s">
        <v>139</v>
      </c>
      <c r="E127" s="3" t="s">
        <v>7</v>
      </c>
    </row>
    <row r="128" spans="1:5">
      <c r="A128" s="2" t="s">
        <v>146</v>
      </c>
      <c r="B128" s="2">
        <v>1</v>
      </c>
      <c r="C128" s="3">
        <v>44</v>
      </c>
      <c r="D128" s="3" t="s">
        <v>139</v>
      </c>
      <c r="E128" s="3" t="s">
        <v>7</v>
      </c>
    </row>
    <row r="129" spans="1:5">
      <c r="A129" s="2" t="s">
        <v>147</v>
      </c>
      <c r="B129" s="2">
        <v>1</v>
      </c>
      <c r="C129" s="3">
        <v>44</v>
      </c>
      <c r="D129" s="3" t="s">
        <v>139</v>
      </c>
      <c r="E129" s="3" t="s">
        <v>7</v>
      </c>
    </row>
    <row r="130" spans="1:5">
      <c r="A130" s="2" t="s">
        <v>148</v>
      </c>
      <c r="B130" s="2">
        <v>1</v>
      </c>
      <c r="C130" s="3">
        <v>44</v>
      </c>
      <c r="D130" s="3" t="s">
        <v>139</v>
      </c>
      <c r="E130" s="3" t="s">
        <v>7</v>
      </c>
    </row>
    <row r="131" spans="1:5" hidden="1">
      <c r="A131" s="2" t="s">
        <v>149</v>
      </c>
      <c r="B131" s="2">
        <v>0</v>
      </c>
    </row>
    <row r="132" spans="1:5" hidden="1">
      <c r="A132" s="2" t="s">
        <v>150</v>
      </c>
      <c r="B132" s="2">
        <v>0</v>
      </c>
    </row>
    <row r="133" spans="1:5">
      <c r="A133" s="2" t="s">
        <v>151</v>
      </c>
      <c r="B133" s="2">
        <v>1</v>
      </c>
      <c r="C133" s="3">
        <v>44</v>
      </c>
      <c r="D133" s="3" t="s">
        <v>139</v>
      </c>
      <c r="E133" s="3" t="s">
        <v>7</v>
      </c>
    </row>
    <row r="134" spans="1:5" hidden="1">
      <c r="A134" s="2" t="s">
        <v>152</v>
      </c>
      <c r="B134" s="2">
        <v>0</v>
      </c>
    </row>
    <row r="135" spans="1:5">
      <c r="A135" s="2" t="s">
        <v>153</v>
      </c>
      <c r="B135" s="2">
        <v>1</v>
      </c>
      <c r="C135" s="5">
        <v>44</v>
      </c>
      <c r="D135" s="5" t="s">
        <v>139</v>
      </c>
      <c r="E135" s="5" t="s">
        <v>7</v>
      </c>
    </row>
    <row r="136" spans="1:5" hidden="1">
      <c r="A136" s="2" t="s">
        <v>154</v>
      </c>
      <c r="B136" s="2">
        <v>0</v>
      </c>
      <c r="C136" s="3"/>
      <c r="D136" s="3"/>
      <c r="E136" s="3"/>
    </row>
    <row r="137" spans="1:5" hidden="1">
      <c r="A137" s="2" t="s">
        <v>155</v>
      </c>
      <c r="B137" s="2">
        <v>0</v>
      </c>
    </row>
    <row r="138" spans="1:5">
      <c r="A138" s="4" t="s">
        <v>156</v>
      </c>
      <c r="B138" s="2">
        <v>1</v>
      </c>
      <c r="C138" s="3">
        <v>42</v>
      </c>
      <c r="D138" s="3" t="s">
        <v>157</v>
      </c>
      <c r="E138" s="3" t="s">
        <v>28</v>
      </c>
    </row>
    <row r="139" spans="1:5" hidden="1">
      <c r="A139" s="2" t="s">
        <v>158</v>
      </c>
      <c r="B139" s="2">
        <v>0</v>
      </c>
    </row>
    <row r="140" spans="1:5" hidden="1">
      <c r="A140" s="2" t="s">
        <v>159</v>
      </c>
      <c r="B140" s="2">
        <v>0</v>
      </c>
    </row>
    <row r="141" spans="1:5" hidden="1">
      <c r="A141" s="2" t="s">
        <v>160</v>
      </c>
      <c r="B141" s="2">
        <v>0</v>
      </c>
    </row>
    <row r="142" spans="1:5" hidden="1">
      <c r="A142" s="2" t="s">
        <v>161</v>
      </c>
      <c r="B142" s="2">
        <v>0</v>
      </c>
    </row>
    <row r="143" spans="1:5" hidden="1">
      <c r="A143" s="2" t="s">
        <v>162</v>
      </c>
      <c r="B143" s="2">
        <v>0</v>
      </c>
    </row>
    <row r="144" spans="1:5">
      <c r="A144" s="4" t="s">
        <v>163</v>
      </c>
      <c r="B144" s="2">
        <v>1</v>
      </c>
      <c r="C144" s="3">
        <v>42</v>
      </c>
      <c r="D144" s="3" t="s">
        <v>157</v>
      </c>
      <c r="E144" s="3" t="s">
        <v>28</v>
      </c>
    </row>
    <row r="145" spans="1:5">
      <c r="A145" s="4" t="s">
        <v>164</v>
      </c>
      <c r="B145" s="2">
        <v>1</v>
      </c>
      <c r="C145" s="3">
        <v>42</v>
      </c>
      <c r="D145" s="3" t="s">
        <v>157</v>
      </c>
      <c r="E145" s="3" t="s">
        <v>7</v>
      </c>
    </row>
    <row r="146" spans="1:5" hidden="1">
      <c r="A146" s="2" t="s">
        <v>165</v>
      </c>
      <c r="B146" s="2">
        <v>0</v>
      </c>
    </row>
    <row r="147" spans="1:5">
      <c r="A147" s="2" t="s">
        <v>166</v>
      </c>
      <c r="B147" s="2">
        <v>1</v>
      </c>
      <c r="C147" s="3">
        <v>42</v>
      </c>
      <c r="D147" s="3" t="s">
        <v>157</v>
      </c>
      <c r="E147" s="3" t="s">
        <v>28</v>
      </c>
    </row>
    <row r="148" spans="1:5" hidden="1">
      <c r="A148" s="2" t="s">
        <v>167</v>
      </c>
      <c r="B148" s="2">
        <v>0</v>
      </c>
    </row>
    <row r="149" spans="1:5" hidden="1">
      <c r="A149" s="2" t="s">
        <v>168</v>
      </c>
      <c r="B149" s="2">
        <v>0</v>
      </c>
    </row>
    <row r="150" spans="1:5" hidden="1">
      <c r="A150" s="2" t="s">
        <v>169</v>
      </c>
      <c r="B150" s="2">
        <v>0</v>
      </c>
    </row>
    <row r="151" spans="1:5">
      <c r="A151" s="2" t="s">
        <v>170</v>
      </c>
      <c r="B151" s="2">
        <v>1</v>
      </c>
      <c r="C151" s="3">
        <v>42</v>
      </c>
      <c r="D151" s="3" t="s">
        <v>157</v>
      </c>
      <c r="E151" s="3" t="s">
        <v>28</v>
      </c>
    </row>
    <row r="152" spans="1:5" hidden="1">
      <c r="A152" s="2" t="s">
        <v>171</v>
      </c>
      <c r="B152" s="2">
        <v>0</v>
      </c>
    </row>
    <row r="153" spans="1:5">
      <c r="A153" s="2" t="s">
        <v>172</v>
      </c>
      <c r="B153" s="2">
        <v>1</v>
      </c>
      <c r="C153" s="3">
        <v>42</v>
      </c>
      <c r="D153" s="3" t="s">
        <v>157</v>
      </c>
      <c r="E153" s="3" t="s">
        <v>28</v>
      </c>
    </row>
    <row r="154" spans="1:5">
      <c r="A154" s="2" t="s">
        <v>173</v>
      </c>
      <c r="B154" s="2">
        <v>1</v>
      </c>
      <c r="C154" s="3">
        <v>41.5</v>
      </c>
      <c r="D154" s="3" t="s">
        <v>174</v>
      </c>
      <c r="E154" s="3" t="s">
        <v>7</v>
      </c>
    </row>
    <row r="155" spans="1:5">
      <c r="A155" s="2" t="s">
        <v>175</v>
      </c>
      <c r="B155" s="2">
        <v>1</v>
      </c>
      <c r="C155" s="3">
        <v>53</v>
      </c>
      <c r="D155" s="3" t="s">
        <v>176</v>
      </c>
      <c r="E155" s="3" t="s">
        <v>7</v>
      </c>
    </row>
    <row r="156" spans="1:5">
      <c r="A156" s="4" t="s">
        <v>177</v>
      </c>
      <c r="B156" s="2">
        <v>1</v>
      </c>
      <c r="C156" s="3">
        <v>53</v>
      </c>
      <c r="D156" s="3" t="s">
        <v>176</v>
      </c>
      <c r="E156" s="3" t="s">
        <v>7</v>
      </c>
    </row>
    <row r="157" spans="1:5">
      <c r="A157" s="2" t="s">
        <v>178</v>
      </c>
      <c r="B157" s="2">
        <v>1</v>
      </c>
      <c r="C157" s="3">
        <v>53</v>
      </c>
      <c r="D157" s="3" t="s">
        <v>176</v>
      </c>
      <c r="E157" s="3" t="s">
        <v>7</v>
      </c>
    </row>
    <row r="158" spans="1:5" hidden="1">
      <c r="A158" s="2" t="s">
        <v>179</v>
      </c>
      <c r="B158" s="2">
        <v>0</v>
      </c>
    </row>
    <row r="159" spans="1:5">
      <c r="A159" s="2" t="s">
        <v>180</v>
      </c>
      <c r="B159" s="2">
        <v>1</v>
      </c>
      <c r="C159" s="3">
        <v>53</v>
      </c>
      <c r="D159" s="3" t="s">
        <v>176</v>
      </c>
      <c r="E159" s="3" t="s">
        <v>7</v>
      </c>
    </row>
    <row r="160" spans="1:5">
      <c r="A160" s="2" t="s">
        <v>181</v>
      </c>
      <c r="B160" s="2">
        <v>1</v>
      </c>
      <c r="C160" s="3">
        <v>53</v>
      </c>
      <c r="D160" s="3" t="s">
        <v>176</v>
      </c>
      <c r="E160" s="3" t="s">
        <v>7</v>
      </c>
    </row>
    <row r="161" spans="1:5" hidden="1">
      <c r="A161" s="2" t="s">
        <v>182</v>
      </c>
      <c r="B161" s="2">
        <v>0</v>
      </c>
    </row>
    <row r="162" spans="1:5" hidden="1">
      <c r="A162" s="2" t="s">
        <v>183</v>
      </c>
      <c r="B162" s="2">
        <v>0</v>
      </c>
    </row>
    <row r="163" spans="1:5">
      <c r="A163" s="2" t="s">
        <v>184</v>
      </c>
      <c r="B163" s="2">
        <v>1</v>
      </c>
      <c r="C163" s="3">
        <v>53</v>
      </c>
      <c r="D163" s="3" t="s">
        <v>176</v>
      </c>
      <c r="E163" s="3" t="s">
        <v>7</v>
      </c>
    </row>
    <row r="164" spans="1:5" hidden="1">
      <c r="A164" s="2" t="s">
        <v>185</v>
      </c>
      <c r="B164" s="2">
        <v>0</v>
      </c>
      <c r="C164" s="2"/>
      <c r="D164" s="2"/>
      <c r="E164" s="2"/>
    </row>
    <row r="165" spans="1:5">
      <c r="A165" s="2" t="s">
        <v>186</v>
      </c>
      <c r="B165" s="2">
        <v>1</v>
      </c>
      <c r="C165" s="3">
        <v>53</v>
      </c>
      <c r="D165" s="3" t="s">
        <v>176</v>
      </c>
      <c r="E165" s="3" t="s">
        <v>7</v>
      </c>
    </row>
    <row r="166" spans="1:5" hidden="1">
      <c r="A166" s="2" t="s">
        <v>187</v>
      </c>
      <c r="B166" s="2">
        <v>0</v>
      </c>
    </row>
    <row r="167" spans="1:5" hidden="1">
      <c r="A167" s="2" t="s">
        <v>188</v>
      </c>
      <c r="B167" s="2">
        <v>0</v>
      </c>
    </row>
    <row r="168" spans="1:5" hidden="1">
      <c r="A168" s="2" t="s">
        <v>189</v>
      </c>
      <c r="B168" s="2">
        <v>0</v>
      </c>
    </row>
    <row r="169" spans="1:5" hidden="1">
      <c r="A169" s="2" t="s">
        <v>190</v>
      </c>
      <c r="B169" s="2">
        <v>0</v>
      </c>
    </row>
    <row r="170" spans="1:5">
      <c r="A170" s="2" t="s">
        <v>191</v>
      </c>
      <c r="B170" s="2">
        <v>1</v>
      </c>
      <c r="C170" s="3">
        <v>53</v>
      </c>
      <c r="D170" s="3" t="s">
        <v>176</v>
      </c>
      <c r="E170" s="3" t="s">
        <v>7</v>
      </c>
    </row>
    <row r="171" spans="1:5">
      <c r="A171" s="2" t="s">
        <v>192</v>
      </c>
      <c r="B171" s="2">
        <v>1</v>
      </c>
      <c r="C171" s="3">
        <v>53</v>
      </c>
      <c r="D171" s="3" t="s">
        <v>176</v>
      </c>
      <c r="E171" s="3" t="s">
        <v>7</v>
      </c>
    </row>
    <row r="172" spans="1:5" hidden="1">
      <c r="A172" s="2" t="s">
        <v>193</v>
      </c>
      <c r="B172" s="2">
        <v>0</v>
      </c>
    </row>
    <row r="173" spans="1:5" hidden="1">
      <c r="A173" s="2" t="s">
        <v>194</v>
      </c>
      <c r="B173" s="2">
        <v>0</v>
      </c>
    </row>
    <row r="174" spans="1:5" hidden="1">
      <c r="A174" s="2" t="s">
        <v>195</v>
      </c>
      <c r="B174" s="2">
        <v>0</v>
      </c>
    </row>
    <row r="175" spans="1:5">
      <c r="A175" s="4" t="s">
        <v>196</v>
      </c>
      <c r="B175" s="2">
        <v>1</v>
      </c>
      <c r="C175" s="3">
        <v>53</v>
      </c>
      <c r="D175" s="3" t="s">
        <v>176</v>
      </c>
      <c r="E175" s="3" t="s">
        <v>7</v>
      </c>
    </row>
    <row r="176" spans="1:5" hidden="1">
      <c r="A176" s="2" t="s">
        <v>197</v>
      </c>
      <c r="B176" s="2">
        <v>0</v>
      </c>
    </row>
    <row r="177" spans="1:5" hidden="1">
      <c r="A177" s="2" t="s">
        <v>198</v>
      </c>
      <c r="B177" s="2">
        <v>0</v>
      </c>
    </row>
    <row r="178" spans="1:5" hidden="1">
      <c r="A178" s="2" t="s">
        <v>199</v>
      </c>
      <c r="B178" s="2">
        <v>0</v>
      </c>
    </row>
    <row r="179" spans="1:5">
      <c r="A179" s="4" t="s">
        <v>200</v>
      </c>
      <c r="B179" s="2">
        <v>1</v>
      </c>
      <c r="C179" s="3">
        <v>53</v>
      </c>
      <c r="D179" s="3" t="s">
        <v>176</v>
      </c>
      <c r="E179" s="3" t="s">
        <v>7</v>
      </c>
    </row>
    <row r="180" spans="1:5" hidden="1">
      <c r="A180" s="2" t="s">
        <v>201</v>
      </c>
      <c r="B180" s="2">
        <v>0</v>
      </c>
    </row>
    <row r="181" spans="1:5">
      <c r="A181" s="2" t="s">
        <v>202</v>
      </c>
      <c r="B181" s="2">
        <v>1</v>
      </c>
      <c r="C181" s="3">
        <v>71.5</v>
      </c>
      <c r="D181" s="3" t="s">
        <v>203</v>
      </c>
      <c r="E181" s="3" t="s">
        <v>7</v>
      </c>
    </row>
    <row r="182" spans="1:5">
      <c r="A182" s="2" t="s">
        <v>204</v>
      </c>
      <c r="B182" s="2">
        <v>1</v>
      </c>
      <c r="C182" s="3">
        <v>71.5</v>
      </c>
      <c r="D182" s="3" t="s">
        <v>203</v>
      </c>
      <c r="E182" s="3" t="s">
        <v>7</v>
      </c>
    </row>
    <row r="183" spans="1:5" hidden="1">
      <c r="A183" s="2" t="s">
        <v>205</v>
      </c>
      <c r="B183" s="2">
        <v>0</v>
      </c>
      <c r="C183" s="2"/>
      <c r="D183" s="2"/>
      <c r="E183" s="2"/>
    </row>
    <row r="184" spans="1:5" hidden="1">
      <c r="A184" s="2" t="s">
        <v>206</v>
      </c>
      <c r="B184" s="2">
        <v>0</v>
      </c>
    </row>
    <row r="185" spans="1:5" hidden="1">
      <c r="A185" s="2" t="s">
        <v>207</v>
      </c>
      <c r="B185" s="2">
        <v>0</v>
      </c>
      <c r="C185" s="2"/>
      <c r="D185" s="2"/>
      <c r="E185" s="2"/>
    </row>
    <row r="186" spans="1:5" hidden="1">
      <c r="A186" s="2" t="s">
        <v>208</v>
      </c>
      <c r="B186" s="2">
        <v>0</v>
      </c>
    </row>
    <row r="187" spans="1:5">
      <c r="A187" s="4" t="s">
        <v>209</v>
      </c>
      <c r="B187" s="2">
        <v>1</v>
      </c>
      <c r="C187" s="3">
        <v>71.5</v>
      </c>
      <c r="D187" s="3" t="s">
        <v>203</v>
      </c>
      <c r="E187" s="3" t="s">
        <v>7</v>
      </c>
    </row>
    <row r="188" spans="1:5">
      <c r="A188" s="2" t="s">
        <v>210</v>
      </c>
      <c r="B188" s="2">
        <v>1</v>
      </c>
      <c r="C188" s="3">
        <v>71.5</v>
      </c>
      <c r="D188" s="3" t="s">
        <v>203</v>
      </c>
      <c r="E188" s="3" t="s">
        <v>7</v>
      </c>
    </row>
    <row r="189" spans="1:5" hidden="1">
      <c r="A189" s="2" t="s">
        <v>211</v>
      </c>
      <c r="B189" s="2">
        <v>0</v>
      </c>
    </row>
    <row r="190" spans="1:5" hidden="1">
      <c r="A190" s="2" t="s">
        <v>212</v>
      </c>
      <c r="B190" s="2">
        <v>0</v>
      </c>
    </row>
    <row r="191" spans="1:5" hidden="1">
      <c r="A191" s="2" t="s">
        <v>213</v>
      </c>
      <c r="B191" s="2">
        <v>0</v>
      </c>
    </row>
    <row r="192" spans="1:5">
      <c r="A192" s="4" t="s">
        <v>214</v>
      </c>
      <c r="B192" s="2">
        <v>1</v>
      </c>
      <c r="C192" s="3">
        <v>71.5</v>
      </c>
      <c r="D192" s="3" t="s">
        <v>203</v>
      </c>
      <c r="E192" s="3" t="s">
        <v>7</v>
      </c>
    </row>
    <row r="193" spans="1:5">
      <c r="A193" s="2" t="s">
        <v>215</v>
      </c>
      <c r="B193" s="2">
        <v>1</v>
      </c>
      <c r="C193" s="3">
        <v>111</v>
      </c>
      <c r="D193" s="3" t="s">
        <v>216</v>
      </c>
      <c r="E193" s="3" t="s">
        <v>7</v>
      </c>
    </row>
    <row r="194" spans="1:5" hidden="1">
      <c r="A194" s="2" t="s">
        <v>217</v>
      </c>
      <c r="B194" s="2">
        <v>0</v>
      </c>
    </row>
    <row r="195" spans="1:5">
      <c r="A195" s="4" t="s">
        <v>218</v>
      </c>
      <c r="B195" s="2">
        <v>1</v>
      </c>
      <c r="C195" s="3">
        <v>131.5</v>
      </c>
      <c r="D195" s="3" t="s">
        <v>219</v>
      </c>
      <c r="E195" s="3" t="s">
        <v>7</v>
      </c>
    </row>
    <row r="196" spans="1:5" hidden="1">
      <c r="A196" s="2" t="s">
        <v>220</v>
      </c>
      <c r="B196" s="2">
        <v>0</v>
      </c>
    </row>
    <row r="197" spans="1:5" hidden="1">
      <c r="A197" s="2" t="s">
        <v>221</v>
      </c>
      <c r="B197" s="2">
        <v>0</v>
      </c>
    </row>
    <row r="198" spans="1:5" hidden="1">
      <c r="A198" s="2" t="s">
        <v>222</v>
      </c>
      <c r="B198" s="2">
        <v>0</v>
      </c>
    </row>
    <row r="199" spans="1:5">
      <c r="A199" s="4" t="s">
        <v>223</v>
      </c>
      <c r="B199" s="2">
        <v>1</v>
      </c>
      <c r="C199" s="3">
        <v>116.1</v>
      </c>
      <c r="D199" s="3" t="s">
        <v>224</v>
      </c>
      <c r="E199" s="3" t="s">
        <v>7</v>
      </c>
    </row>
  </sheetData>
  <autoFilter ref="A1:E199" xr:uid="{4AFD464E-EA38-4A90-94D9-A0751CC594C3}">
    <filterColumn colId="1">
      <filters>
        <filter val="1"/>
      </filters>
    </filterColumn>
  </autoFilter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Gianluca Fabiano</cp:lastModifiedBy>
  <cp:revision/>
  <dcterms:created xsi:type="dcterms:W3CDTF">2025-02-10T11:21:59Z</dcterms:created>
  <dcterms:modified xsi:type="dcterms:W3CDTF">2025-02-25T17:06:27Z</dcterms:modified>
  <cp:category/>
  <cp:contentStatus/>
</cp:coreProperties>
</file>