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76" documentId="8_{5748A928-16EB-4036-9481-7DCBACB4E74A}" xr6:coauthVersionLast="47" xr6:coauthVersionMax="47" xr10:uidLastSave="{50EBB7B0-CB22-4E85-8210-5E6DC65340A3}"/>
  <bookViews>
    <workbookView xWindow="-120" yWindow="-120" windowWidth="29040" windowHeight="15720" xr2:uid="{434EC9B3-4EB4-4683-B0C6-A3C35AC73F06}"/>
  </bookViews>
  <sheets>
    <sheet name="Sheet1" sheetId="1" r:id="rId1"/>
  </sheets>
  <definedNames>
    <definedName name="_xlnm._FilterDatabase" localSheetId="0" hidden="1">Sheet1!$A$1:$G$157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1" i="1" l="1"/>
  <c r="G74" i="1"/>
  <c r="G98" i="1"/>
  <c r="G39" i="1"/>
  <c r="G131" i="1"/>
  <c r="G38" i="1"/>
  <c r="G66" i="1"/>
  <c r="G6" i="1"/>
  <c r="G148" i="1"/>
  <c r="G10" i="1"/>
  <c r="G11" i="1"/>
  <c r="G12" i="1"/>
  <c r="G103" i="1"/>
  <c r="G13" i="1"/>
  <c r="G3" i="1"/>
  <c r="G120" i="1"/>
  <c r="G142" i="1"/>
  <c r="G7" i="1"/>
  <c r="G132" i="1"/>
  <c r="G123" i="1"/>
  <c r="G124" i="1"/>
  <c r="G156" i="1"/>
  <c r="G14" i="1"/>
  <c r="G15" i="1"/>
  <c r="G16" i="1"/>
  <c r="G17" i="1"/>
  <c r="G104" i="1"/>
  <c r="G18" i="1"/>
  <c r="G19" i="1"/>
  <c r="G20" i="1"/>
  <c r="G157" i="1"/>
  <c r="G21" i="1"/>
  <c r="G100" i="1"/>
  <c r="G8" i="1"/>
  <c r="G22" i="1"/>
  <c r="G143" i="1"/>
  <c r="G23" i="1"/>
  <c r="G125" i="1"/>
  <c r="G149" i="1"/>
  <c r="G2" i="1"/>
  <c r="G141" i="1"/>
  <c r="G24" i="1"/>
  <c r="G150" i="1"/>
  <c r="G105" i="1"/>
  <c r="G25" i="1"/>
  <c r="G26" i="1"/>
  <c r="G9" i="1"/>
  <c r="G56" i="1"/>
  <c r="G27" i="1"/>
  <c r="G28" i="1"/>
  <c r="G29" i="1"/>
  <c r="G61" i="1"/>
  <c r="G62" i="1"/>
  <c r="G63" i="1"/>
  <c r="G64" i="1"/>
  <c r="G101" i="1"/>
  <c r="G99" i="1"/>
  <c r="G54" i="1"/>
  <c r="G67" i="1"/>
  <c r="G68" i="1"/>
  <c r="G69" i="1"/>
  <c r="G70" i="1"/>
  <c r="G71" i="1"/>
  <c r="G72" i="1"/>
  <c r="G73" i="1"/>
  <c r="G75" i="1"/>
  <c r="G76" i="1"/>
  <c r="G130" i="1"/>
  <c r="G77" i="1"/>
  <c r="G78" i="1"/>
  <c r="G79" i="1"/>
  <c r="G80" i="1"/>
  <c r="G81" i="1"/>
  <c r="G82" i="1"/>
  <c r="G83" i="1"/>
  <c r="G152" i="1"/>
  <c r="G153" i="1"/>
  <c r="G154" i="1"/>
  <c r="G155" i="1"/>
  <c r="G144" i="1"/>
  <c r="G145" i="1"/>
  <c r="G146" i="1"/>
  <c r="G147" i="1"/>
  <c r="G140" i="1"/>
  <c r="G133" i="1"/>
  <c r="G134" i="1"/>
  <c r="G135" i="1"/>
  <c r="G136" i="1"/>
  <c r="G137" i="1"/>
  <c r="G138" i="1"/>
  <c r="G126" i="1"/>
  <c r="G127" i="1"/>
  <c r="G128" i="1"/>
  <c r="G129" i="1"/>
  <c r="G121" i="1"/>
  <c r="G122" i="1"/>
  <c r="G116" i="1"/>
  <c r="G112" i="1"/>
  <c r="G113" i="1"/>
  <c r="G114" i="1"/>
  <c r="G115" i="1"/>
  <c r="G106" i="1"/>
  <c r="G107" i="1"/>
  <c r="G108" i="1"/>
  <c r="G109" i="1"/>
  <c r="G110" i="1"/>
  <c r="G57" i="1"/>
  <c r="G58" i="1"/>
  <c r="G59" i="1"/>
  <c r="G45" i="1"/>
  <c r="G46" i="1"/>
  <c r="G47" i="1"/>
  <c r="G48" i="1"/>
  <c r="G49" i="1"/>
  <c r="G50" i="1"/>
  <c r="G51" i="1"/>
  <c r="G52" i="1"/>
  <c r="G53" i="1"/>
  <c r="G37" i="1"/>
  <c r="G36" i="1"/>
  <c r="G30" i="1"/>
  <c r="G31" i="1"/>
  <c r="G32" i="1"/>
  <c r="G33" i="1"/>
  <c r="G34" i="1"/>
  <c r="G35" i="1"/>
  <c r="G4" i="1"/>
  <c r="G5" i="1"/>
  <c r="G84" i="1"/>
  <c r="G55" i="1"/>
  <c r="G102" i="1"/>
  <c r="G85" i="1"/>
  <c r="G111" i="1"/>
  <c r="G86" i="1"/>
  <c r="G87" i="1"/>
  <c r="G43" i="1"/>
  <c r="G139" i="1"/>
  <c r="G41" i="1"/>
  <c r="G42" i="1"/>
  <c r="G88" i="1"/>
  <c r="G89" i="1"/>
  <c r="G90" i="1"/>
  <c r="G91" i="1"/>
  <c r="G92" i="1"/>
  <c r="G44" i="1"/>
  <c r="G117" i="1"/>
  <c r="G60" i="1"/>
  <c r="G93" i="1"/>
  <c r="G94" i="1"/>
  <c r="G95" i="1"/>
  <c r="G96" i="1"/>
  <c r="G40" i="1"/>
  <c r="G118" i="1"/>
  <c r="G119" i="1"/>
  <c r="G97" i="1"/>
  <c r="G65" i="1"/>
</calcChain>
</file>

<file path=xl/sharedStrings.xml><?xml version="1.0" encoding="utf-8"?>
<sst xmlns="http://schemas.openxmlformats.org/spreadsheetml/2006/main" count="318" uniqueCount="192">
  <si>
    <t>Clinical Psychologist</t>
  </si>
  <si>
    <t>Behavioral Health &amp; Social Service Providers, Psychologist, Clinical</t>
  </si>
  <si>
    <t>Specialist Nurse Practitioner</t>
  </si>
  <si>
    <t>Clinical Nurse Specialist</t>
  </si>
  <si>
    <t>Community Practitioner</t>
  </si>
  <si>
    <t>Community Health Nurse Practitioner</t>
  </si>
  <si>
    <t>Community Mental Health Nurse</t>
  </si>
  <si>
    <t>Community Psych / Mental Health Nurse</t>
  </si>
  <si>
    <t>Therapist</t>
  </si>
  <si>
    <t>Marriage and Family Therapist</t>
  </si>
  <si>
    <t>Health Care Support Worker</t>
  </si>
  <si>
    <t>Medical Physician Assistant</t>
  </si>
  <si>
    <t>Gateway Worker</t>
  </si>
  <si>
    <t>Mental Health Counselor</t>
  </si>
  <si>
    <t>Midwife</t>
  </si>
  <si>
    <t>Associate Practitioner - Nurse</t>
  </si>
  <si>
    <t>Nurse Practitioner</t>
  </si>
  <si>
    <t>Pharmacist</t>
  </si>
  <si>
    <t>Phlebotomist</t>
  </si>
  <si>
    <t>Physiotherapist</t>
  </si>
  <si>
    <t>Physical Hand Therapist</t>
  </si>
  <si>
    <t>Clinical Coder</t>
  </si>
  <si>
    <t>Physician Office Based Coding Specialist</t>
  </si>
  <si>
    <t>Chiropodist/Podiatrist</t>
  </si>
  <si>
    <t>Podiatrist</t>
  </si>
  <si>
    <t>Counsellor</t>
  </si>
  <si>
    <t>Professional Behavioral Health Counselor</t>
  </si>
  <si>
    <t>Radiographer</t>
  </si>
  <si>
    <t>Radiography Technologist</t>
  </si>
  <si>
    <t>Community Nurse</t>
  </si>
  <si>
    <t>Registered Community Health Nurse</t>
  </si>
  <si>
    <t>Dietitian</t>
  </si>
  <si>
    <t>Registered Dietitian</t>
  </si>
  <si>
    <t>Nursery Nurse</t>
  </si>
  <si>
    <t>Registered School Nurse</t>
  </si>
  <si>
    <t>Social Worker</t>
  </si>
  <si>
    <t>Medical Student</t>
  </si>
  <si>
    <t>Student</t>
  </si>
  <si>
    <t>Clinical Assistant</t>
  </si>
  <si>
    <t>Surgical Physician Assistant</t>
  </si>
  <si>
    <t>Manager</t>
  </si>
  <si>
    <t>Case Manager / Care Coordinator</t>
  </si>
  <si>
    <t>Senior Manager</t>
  </si>
  <si>
    <t>Community Administrator</t>
  </si>
  <si>
    <t>Community Health Worker</t>
  </si>
  <si>
    <t>Other Community Health Service</t>
  </si>
  <si>
    <t>General Medical Practitioner</t>
  </si>
  <si>
    <t>General Practice</t>
  </si>
  <si>
    <t>Salaried General Practitioner</t>
  </si>
  <si>
    <t>Desktop Support Administrator</t>
  </si>
  <si>
    <t>Health Information Technician</t>
  </si>
  <si>
    <t>Analyst</t>
  </si>
  <si>
    <t>Sessional GP</t>
  </si>
  <si>
    <t>No matching concept</t>
  </si>
  <si>
    <t>GP Registrar</t>
  </si>
  <si>
    <t>Locum GP</t>
  </si>
  <si>
    <t>Consultant</t>
  </si>
  <si>
    <t>Enrolled Nurse</t>
  </si>
  <si>
    <t>Appointments Clerk</t>
  </si>
  <si>
    <t>Technician - Admin &amp; Clerical</t>
  </si>
  <si>
    <t>Other Community Health Service - Admin Clerk</t>
  </si>
  <si>
    <t>Network Administrator</t>
  </si>
  <si>
    <t>Clinical Application Administrator</t>
  </si>
  <si>
    <t>Practitioner</t>
  </si>
  <si>
    <t>Health Records Clerk</t>
  </si>
  <si>
    <t>Helper/Assistant</t>
  </si>
  <si>
    <t>Helpdesk Technician</t>
  </si>
  <si>
    <t>Caldicott Guardian</t>
  </si>
  <si>
    <t>Information Officer</t>
  </si>
  <si>
    <t>Associate Practitioner</t>
  </si>
  <si>
    <t>Network Technician</t>
  </si>
  <si>
    <t>Staff Grade</t>
  </si>
  <si>
    <t>Medical Records Manager</t>
  </si>
  <si>
    <t>Officer</t>
  </si>
  <si>
    <t>Assistant GP</t>
  </si>
  <si>
    <t>House Officer - Post Registration</t>
  </si>
  <si>
    <t>Paramedic Manager</t>
  </si>
  <si>
    <t>Deputising Doctor</t>
  </si>
  <si>
    <t>Art Therapist</t>
  </si>
  <si>
    <t>Osteopath</t>
  </si>
  <si>
    <t>Clinical Director - Medical</t>
  </si>
  <si>
    <t>Art Therapist Manager</t>
  </si>
  <si>
    <t>Availability Monitor</t>
  </si>
  <si>
    <t>Child Protection worker</t>
  </si>
  <si>
    <t>Trainee Practitioner</t>
  </si>
  <si>
    <t>Radiologist</t>
  </si>
  <si>
    <t>Hospital Practitioner</t>
  </si>
  <si>
    <t>Finance Director</t>
  </si>
  <si>
    <t>Intermediate Care staff</t>
  </si>
  <si>
    <t>Porter</t>
  </si>
  <si>
    <t>Medical Technical Officer</t>
  </si>
  <si>
    <t>Student Practice Nurse</t>
  </si>
  <si>
    <t>Senior House Officer</t>
  </si>
  <si>
    <t>Waiting List Manager</t>
  </si>
  <si>
    <t>Physiotherapist Specialist Practitioner</t>
  </si>
  <si>
    <t>Physiotherapist Manager</t>
  </si>
  <si>
    <t>Outpatient Manager</t>
  </si>
  <si>
    <t>Clinical Team Manager</t>
  </si>
  <si>
    <t>Call Operator</t>
  </si>
  <si>
    <t>Patient Welfare Officer</t>
  </si>
  <si>
    <t>Researcher</t>
  </si>
  <si>
    <t>Clinical Director</t>
  </si>
  <si>
    <t>Community Team Manager</t>
  </si>
  <si>
    <t>Psychotherapist</t>
  </si>
  <si>
    <t>Regional Dental Officer</t>
  </si>
  <si>
    <t>Physiotherapist Consultant</t>
  </si>
  <si>
    <t>Student Nurse - Adult Branch</t>
  </si>
  <si>
    <t>Art Therapist Specialist Practitioner</t>
  </si>
  <si>
    <t>Specialist Registrar</t>
  </si>
  <si>
    <t>House Officer - Pre Registration</t>
  </si>
  <si>
    <t>Paramedic Consultant</t>
  </si>
  <si>
    <t>Art Therapist Consultant</t>
  </si>
  <si>
    <t>Chiropodist/Podiatrist Specialist Practitioner</t>
  </si>
  <si>
    <t>Occupational Therapist</t>
  </si>
  <si>
    <t>Healthcare Scientist</t>
  </si>
  <si>
    <t>Ward Clerk</t>
  </si>
  <si>
    <t>Optometrist</t>
  </si>
  <si>
    <t>Audiologist</t>
  </si>
  <si>
    <t>Other Community Health Service - Social Care Worker</t>
  </si>
  <si>
    <t>Director of Nursing</t>
  </si>
  <si>
    <t>Audit Manager</t>
  </si>
  <si>
    <t>Radiographer - Diagnostic, Manager</t>
  </si>
  <si>
    <t>Multi Therapist</t>
  </si>
  <si>
    <t>Trust Grade Doctor - SHO level</t>
  </si>
  <si>
    <t>Radiographer - Diagnostic, Specialist Practitioner</t>
  </si>
  <si>
    <t>Student Community Practitioner</t>
  </si>
  <si>
    <t>Chiropodist/Podiatrist Consultant</t>
  </si>
  <si>
    <t>Ward Manager</t>
  </si>
  <si>
    <t>Healthcare Cadet</t>
  </si>
  <si>
    <t>Technician - Healthcare Scientists</t>
  </si>
  <si>
    <t>Clinical Medical Officer</t>
  </si>
  <si>
    <t>Dietitian Specialist Practitioner</t>
  </si>
  <si>
    <t>Dietitian Consultant</t>
  </si>
  <si>
    <t>Orthoptist Manager</t>
  </si>
  <si>
    <t>Chiropodist/Podiatrist Manager</t>
  </si>
  <si>
    <t>Radiographer - Diagnostic</t>
  </si>
  <si>
    <t>Social Care Support Worker</t>
  </si>
  <si>
    <t>Biomedical Scientist</t>
  </si>
  <si>
    <t>Student Physiotherapist</t>
  </si>
  <si>
    <t>Technician - Additional Clinical Services</t>
  </si>
  <si>
    <t>Waiting List Clerk</t>
  </si>
  <si>
    <t>Asst. Clinical Medical Officer</t>
  </si>
  <si>
    <t>Pre-reg Pharmacist</t>
  </si>
  <si>
    <t>Social work assistant (mental health)</t>
  </si>
  <si>
    <t>Dietitian Manager</t>
  </si>
  <si>
    <t>Healthcare Science Assistant</t>
  </si>
  <si>
    <t>Midwife - Sister/Charge Nurse</t>
  </si>
  <si>
    <t>Student District Nurse</t>
  </si>
  <si>
    <t>Medical Director</t>
  </si>
  <si>
    <t>Multi Therapist Specialist Practitioner</t>
  </si>
  <si>
    <t>Student Technician</t>
  </si>
  <si>
    <t>Receptionist</t>
  </si>
  <si>
    <t>Other Technician</t>
  </si>
  <si>
    <t>Senior Administrator</t>
  </si>
  <si>
    <t>Secretary</t>
  </si>
  <si>
    <t>System Worker</t>
  </si>
  <si>
    <t>Helpdesk Administrator</t>
  </si>
  <si>
    <t>Desktop Support Technician</t>
  </si>
  <si>
    <t>Paramedic</t>
  </si>
  <si>
    <t>Paramedic Specialist Practitioner</t>
  </si>
  <si>
    <t>Dispenser</t>
  </si>
  <si>
    <t>Pharmacy Technician</t>
  </si>
  <si>
    <t>Medical Technical Officer - Pharmacy</t>
  </si>
  <si>
    <t>Healthcare Assistant</t>
  </si>
  <si>
    <t>Physician Assistant</t>
  </si>
  <si>
    <t>Associate Practitioner - General Practitioner</t>
  </si>
  <si>
    <t>Assistant Practitioner</t>
  </si>
  <si>
    <t>Nurse Manager</t>
  </si>
  <si>
    <t>Registered General Practice Nurse</t>
  </si>
  <si>
    <t>Nurse Consultant</t>
  </si>
  <si>
    <t>Modern Matron</t>
  </si>
  <si>
    <t>Staff Nurse</t>
  </si>
  <si>
    <t>Registered Nurse</t>
  </si>
  <si>
    <t>Sister/Charge Nurse</t>
  </si>
  <si>
    <t>Clerical Worker</t>
  </si>
  <si>
    <t>Registered Record Administrator</t>
  </si>
  <si>
    <t>System Administrator</t>
  </si>
  <si>
    <t>Medical Secretary</t>
  </si>
  <si>
    <t>Medical Records Clerk</t>
  </si>
  <si>
    <t>Health Records Administrator</t>
  </si>
  <si>
    <t>Advanced Practitioner</t>
  </si>
  <si>
    <t>Specialist</t>
  </si>
  <si>
    <t>Associate Specialist</t>
  </si>
  <si>
    <t>Specialist Practitioner</t>
  </si>
  <si>
    <t>Support, Time, Recovery Worker</t>
  </si>
  <si>
    <t>Mental Retardation and Developmental Disability Psychologist</t>
  </si>
  <si>
    <t>source_specialties</t>
  </si>
  <si>
    <t>unit_cost_source</t>
  </si>
  <si>
    <t>clinical_relevance_source</t>
  </si>
  <si>
    <t>omop_specialties</t>
  </si>
  <si>
    <t>unit_cost_omop</t>
  </si>
  <si>
    <t>clinical_relevance_omop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</si>
</sst>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44" fontId="2" fillId="0" borderId="0" xfId="1" applyFont="1" applyAlignment="1">
      <alignment horizontal="center"/>
    </xf>
    <xf numFmtId="0" fontId="2" fillId="0" borderId="0" xfId="0" applyFont="1"/>
    <xf numFmtId="2" fontId="0" fillId="0" borderId="0" xfId="0" applyNumberFormat="1"/>
    <xf numFmtId="44" fontId="0" fillId="0" borderId="0" xfId="1" applyFont="1"/>
    <xf numFmtId="1" fontId="2" fillId="0" borderId="0" xfId="0" applyNumberFormat="1" applyFont="1" applyAlignment="1">
      <alignment horizontal="center"/>
    </xf>
    <xf numFmtId="1" fontId="0" fillId="0" borderId="0" xfId="0" applyNumberFormat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18DB-D1DA-4C20-9CDB-58BF1B15F015}">
  <dimension ref="A1:G157"/>
  <sheetViews>
    <sheetView tabSelected="1" topLeftCell="A2" workbookViewId="0">
      <selection activeCell="B1" sqref="B1"/>
    </sheetView>
  </sheetViews>
  <sheetFormatPr defaultRowHeight="15" x14ac:dyDescent="0.25"/>
  <cols>
    <col min="1" max="1" width="45.28515625" customWidth="1"/>
    <col min="2" max="2" width="22.85546875" style="5" customWidth="1"/>
    <col min="3" max="3" width="22.85546875" style="8" customWidth="1"/>
    <col min="4" max="4" width="60" style="6" customWidth="1"/>
    <col min="5" max="5" width="24" customWidth="1"/>
    <col min="6" max="6" width="22.42578125" bestFit="1" customWidth="1"/>
  </cols>
  <sheetData>
    <row r="1" spans="1:7" x14ac:dyDescent="0.25">
      <c r="A1" s="1" t="s">
        <v>186</v>
      </c>
      <c r="B1" s="2" t="s">
        <v>187</v>
      </c>
      <c r="C1" s="7" t="s">
        <v>188</v>
      </c>
      <c r="D1" s="3" t="s">
        <v>189</v>
      </c>
      <c r="E1" s="1" t="s">
        <v>190</v>
      </c>
      <c r="F1" s="4" t="s">
        <v>191</v>
      </c>
    </row>
    <row r="2" spans="1:7" x14ac:dyDescent="0.25">
      <c r="A2" t="s">
        <v>99</v>
      </c>
      <c r="B2" s="5">
        <v>0.95</v>
      </c>
      <c r="C2" s="8">
        <v>0</v>
      </c>
      <c r="D2" t="s">
        <v>53</v>
      </c>
      <c r="E2" s="5">
        <v>41.248211915969272</v>
      </c>
      <c r="F2">
        <v>0</v>
      </c>
      <c r="G2" s="5">
        <f>B2-E2</f>
        <v>-40.298211915969269</v>
      </c>
    </row>
    <row r="3" spans="1:7" x14ac:dyDescent="0.25">
      <c r="A3" t="s">
        <v>98</v>
      </c>
      <c r="B3" s="5">
        <v>1.08</v>
      </c>
      <c r="C3" s="8">
        <v>0</v>
      </c>
      <c r="D3" t="s">
        <v>53</v>
      </c>
      <c r="E3" s="5">
        <v>41.248211915969272</v>
      </c>
      <c r="F3">
        <v>0</v>
      </c>
      <c r="G3" s="5">
        <f>B3-E3</f>
        <v>-40.168211915969273</v>
      </c>
    </row>
    <row r="4" spans="1:7" x14ac:dyDescent="0.25">
      <c r="A4" t="s">
        <v>69</v>
      </c>
      <c r="B4" s="5">
        <v>1.1084645582462176</v>
      </c>
      <c r="C4" s="8">
        <v>1</v>
      </c>
      <c r="D4" t="s">
        <v>53</v>
      </c>
      <c r="E4" s="5">
        <v>41.248211915969272</v>
      </c>
      <c r="F4">
        <v>0</v>
      </c>
      <c r="G4" s="5">
        <f>B4-E4</f>
        <v>-40.139747357723053</v>
      </c>
    </row>
    <row r="5" spans="1:7" x14ac:dyDescent="0.25">
      <c r="A5" t="s">
        <v>73</v>
      </c>
      <c r="B5" s="5">
        <v>1.1084645582462176</v>
      </c>
      <c r="C5" s="8">
        <v>1</v>
      </c>
      <c r="D5" t="s">
        <v>53</v>
      </c>
      <c r="E5" s="5">
        <v>41.248211915969272</v>
      </c>
      <c r="F5">
        <v>0</v>
      </c>
      <c r="G5" s="5">
        <f>B5-E5</f>
        <v>-40.139747357723053</v>
      </c>
    </row>
    <row r="6" spans="1:7" x14ac:dyDescent="0.25">
      <c r="A6" t="s">
        <v>58</v>
      </c>
      <c r="B6" s="5">
        <v>1.27</v>
      </c>
      <c r="C6" s="8">
        <v>0</v>
      </c>
      <c r="D6" t="s">
        <v>53</v>
      </c>
      <c r="E6" s="5">
        <v>41.248211915969272</v>
      </c>
      <c r="F6">
        <v>0</v>
      </c>
      <c r="G6" s="5">
        <f>B6-E6</f>
        <v>-39.978211915969268</v>
      </c>
    </row>
    <row r="7" spans="1:7" x14ac:dyDescent="0.25">
      <c r="A7" t="s">
        <v>62</v>
      </c>
      <c r="B7" s="5">
        <v>1.27</v>
      </c>
      <c r="C7" s="8">
        <v>0</v>
      </c>
      <c r="D7" t="s">
        <v>53</v>
      </c>
      <c r="E7" s="5">
        <v>41.248211915969272</v>
      </c>
      <c r="F7">
        <v>0</v>
      </c>
      <c r="G7" s="5">
        <f>B7-E7</f>
        <v>-39.978211915969268</v>
      </c>
    </row>
    <row r="8" spans="1:7" x14ac:dyDescent="0.25">
      <c r="A8" t="s">
        <v>61</v>
      </c>
      <c r="B8" s="5">
        <v>1.27</v>
      </c>
      <c r="C8" s="8">
        <v>0</v>
      </c>
      <c r="D8" t="s">
        <v>53</v>
      </c>
      <c r="E8" s="5">
        <v>41.248211915969272</v>
      </c>
      <c r="F8">
        <v>0</v>
      </c>
      <c r="G8" s="5">
        <f>B8-E8</f>
        <v>-39.978211915969268</v>
      </c>
    </row>
    <row r="9" spans="1:7" x14ac:dyDescent="0.25">
      <c r="A9" t="s">
        <v>59</v>
      </c>
      <c r="B9" s="5">
        <v>1.27</v>
      </c>
      <c r="C9" s="8">
        <v>0</v>
      </c>
      <c r="D9" t="s">
        <v>53</v>
      </c>
      <c r="E9" s="5">
        <v>41.248211915969272</v>
      </c>
      <c r="F9">
        <v>0</v>
      </c>
      <c r="G9" s="5">
        <f>B9-E9</f>
        <v>-39.978211915969268</v>
      </c>
    </row>
    <row r="10" spans="1:7" x14ac:dyDescent="0.25">
      <c r="A10" t="s">
        <v>141</v>
      </c>
      <c r="B10" s="5">
        <v>1.2727272727272729</v>
      </c>
      <c r="C10" s="8">
        <v>0</v>
      </c>
      <c r="D10" t="s">
        <v>53</v>
      </c>
      <c r="E10" s="5">
        <v>41.248211915969272</v>
      </c>
      <c r="F10">
        <v>0</v>
      </c>
      <c r="G10" s="5">
        <f>B10-E10</f>
        <v>-39.975484643241998</v>
      </c>
    </row>
    <row r="11" spans="1:7" x14ac:dyDescent="0.25">
      <c r="A11" t="s">
        <v>120</v>
      </c>
      <c r="B11" s="5">
        <v>1.2727272727272729</v>
      </c>
      <c r="C11" s="8">
        <v>0</v>
      </c>
      <c r="D11" t="s">
        <v>53</v>
      </c>
      <c r="E11" s="5">
        <v>41.248211915969272</v>
      </c>
      <c r="F11">
        <v>0</v>
      </c>
      <c r="G11" s="5">
        <f>B11-E11</f>
        <v>-39.975484643241998</v>
      </c>
    </row>
    <row r="12" spans="1:7" x14ac:dyDescent="0.25">
      <c r="A12" t="s">
        <v>82</v>
      </c>
      <c r="B12" s="5">
        <v>1.2727272727272729</v>
      </c>
      <c r="C12" s="8">
        <v>0</v>
      </c>
      <c r="D12" t="s">
        <v>53</v>
      </c>
      <c r="E12" s="5">
        <v>41.248211915969272</v>
      </c>
      <c r="F12">
        <v>0</v>
      </c>
      <c r="G12" s="5">
        <f>B12-E12</f>
        <v>-39.975484643241998</v>
      </c>
    </row>
    <row r="13" spans="1:7" x14ac:dyDescent="0.25">
      <c r="A13" t="s">
        <v>67</v>
      </c>
      <c r="B13" s="5">
        <v>1.2727272727272729</v>
      </c>
      <c r="C13" s="8">
        <v>0</v>
      </c>
      <c r="D13" t="s">
        <v>53</v>
      </c>
      <c r="E13" s="5">
        <v>41.248211915969272</v>
      </c>
      <c r="F13">
        <v>0</v>
      </c>
      <c r="G13" s="5">
        <f>B13-E13</f>
        <v>-39.975484643241998</v>
      </c>
    </row>
    <row r="14" spans="1:7" x14ac:dyDescent="0.25">
      <c r="A14" t="s">
        <v>87</v>
      </c>
      <c r="B14" s="5">
        <v>1.2727272727272729</v>
      </c>
      <c r="C14" s="8">
        <v>0</v>
      </c>
      <c r="D14" t="s">
        <v>53</v>
      </c>
      <c r="E14" s="5">
        <v>41.248211915969272</v>
      </c>
      <c r="F14">
        <v>0</v>
      </c>
      <c r="G14" s="5">
        <f>B14-E14</f>
        <v>-39.975484643241998</v>
      </c>
    </row>
    <row r="15" spans="1:7" x14ac:dyDescent="0.25">
      <c r="A15" t="s">
        <v>64</v>
      </c>
      <c r="B15" s="5">
        <v>1.2727272727272729</v>
      </c>
      <c r="C15" s="8">
        <v>0</v>
      </c>
      <c r="D15" t="s">
        <v>53</v>
      </c>
      <c r="E15" s="5">
        <v>41.248211915969272</v>
      </c>
      <c r="F15">
        <v>0</v>
      </c>
      <c r="G15" s="5">
        <f>B15-E15</f>
        <v>-39.975484643241998</v>
      </c>
    </row>
    <row r="16" spans="1:7" x14ac:dyDescent="0.25">
      <c r="A16" t="s">
        <v>128</v>
      </c>
      <c r="B16" s="5">
        <v>1.2727272727272729</v>
      </c>
      <c r="C16" s="8">
        <v>0</v>
      </c>
      <c r="D16" t="s">
        <v>53</v>
      </c>
      <c r="E16" s="5">
        <v>41.248211915969272</v>
      </c>
      <c r="F16">
        <v>0</v>
      </c>
      <c r="G16" s="5">
        <f>B16-E16</f>
        <v>-39.975484643241998</v>
      </c>
    </row>
    <row r="17" spans="1:7" x14ac:dyDescent="0.25">
      <c r="A17" t="s">
        <v>145</v>
      </c>
      <c r="B17" s="5">
        <v>1.27272727272727</v>
      </c>
      <c r="C17" s="8">
        <v>0</v>
      </c>
      <c r="D17" t="s">
        <v>53</v>
      </c>
      <c r="E17" s="5">
        <v>41.248211915969272</v>
      </c>
      <c r="F17">
        <v>0</v>
      </c>
      <c r="G17" s="5">
        <f>B17-E17</f>
        <v>-39.975484643241998</v>
      </c>
    </row>
    <row r="18" spans="1:7" x14ac:dyDescent="0.25">
      <c r="A18" t="s">
        <v>66</v>
      </c>
      <c r="B18" s="5">
        <v>1.2727272727272729</v>
      </c>
      <c r="C18" s="8">
        <v>0</v>
      </c>
      <c r="D18" t="s">
        <v>53</v>
      </c>
      <c r="E18" s="5">
        <v>41.248211915969272</v>
      </c>
      <c r="F18">
        <v>0</v>
      </c>
      <c r="G18" s="5">
        <f>B18-E18</f>
        <v>-39.975484643241998</v>
      </c>
    </row>
    <row r="19" spans="1:7" x14ac:dyDescent="0.25">
      <c r="A19" t="s">
        <v>65</v>
      </c>
      <c r="B19" s="5">
        <v>1.2727272727272729</v>
      </c>
      <c r="C19" s="8">
        <v>0</v>
      </c>
      <c r="D19" t="s">
        <v>53</v>
      </c>
      <c r="E19" s="5">
        <v>41.248211915969272</v>
      </c>
      <c r="F19">
        <v>0</v>
      </c>
      <c r="G19" s="5">
        <f>B19-E19</f>
        <v>-39.975484643241998</v>
      </c>
    </row>
    <row r="20" spans="1:7" x14ac:dyDescent="0.25">
      <c r="A20" t="s">
        <v>68</v>
      </c>
      <c r="B20" s="5">
        <v>1.2727272727272729</v>
      </c>
      <c r="C20" s="8">
        <v>0</v>
      </c>
      <c r="D20" t="s">
        <v>53</v>
      </c>
      <c r="E20" s="5">
        <v>41.248211915969272</v>
      </c>
      <c r="F20">
        <v>0</v>
      </c>
      <c r="G20" s="5">
        <f>B20-E20</f>
        <v>-39.975484643241998</v>
      </c>
    </row>
    <row r="21" spans="1:7" x14ac:dyDescent="0.25">
      <c r="A21" t="s">
        <v>72</v>
      </c>
      <c r="B21" s="5">
        <v>1.2727272727272729</v>
      </c>
      <c r="C21" s="8">
        <v>0</v>
      </c>
      <c r="D21" t="s">
        <v>53</v>
      </c>
      <c r="E21" s="5">
        <v>41.248211915969272</v>
      </c>
      <c r="F21">
        <v>0</v>
      </c>
      <c r="G21" s="5">
        <f>B21-E21</f>
        <v>-39.975484643241998</v>
      </c>
    </row>
    <row r="22" spans="1:7" x14ac:dyDescent="0.25">
      <c r="A22" t="s">
        <v>70</v>
      </c>
      <c r="B22" s="5">
        <v>1.2727272727272729</v>
      </c>
      <c r="C22" s="8">
        <v>0</v>
      </c>
      <c r="D22" t="s">
        <v>53</v>
      </c>
      <c r="E22" s="5">
        <v>41.248211915969272</v>
      </c>
      <c r="F22">
        <v>0</v>
      </c>
      <c r="G22" s="5">
        <f>B22-E22</f>
        <v>-39.975484643241998</v>
      </c>
    </row>
    <row r="23" spans="1:7" x14ac:dyDescent="0.25">
      <c r="A23" t="s">
        <v>60</v>
      </c>
      <c r="B23" s="5">
        <v>1.2727272727272729</v>
      </c>
      <c r="C23" s="8">
        <v>0</v>
      </c>
      <c r="D23" t="s">
        <v>53</v>
      </c>
      <c r="E23" s="5">
        <v>41.248211915969272</v>
      </c>
      <c r="F23">
        <v>0</v>
      </c>
      <c r="G23" s="5">
        <f>B23-E23</f>
        <v>-39.975484643241998</v>
      </c>
    </row>
    <row r="24" spans="1:7" x14ac:dyDescent="0.25">
      <c r="A24" t="s">
        <v>89</v>
      </c>
      <c r="B24" s="5">
        <v>1.2727272727272729</v>
      </c>
      <c r="C24" s="8">
        <v>0</v>
      </c>
      <c r="D24" t="s">
        <v>53</v>
      </c>
      <c r="E24" s="5">
        <v>41.248211915969272</v>
      </c>
      <c r="F24">
        <v>0</v>
      </c>
      <c r="G24" s="5">
        <f>B24-E24</f>
        <v>-39.975484643241998</v>
      </c>
    </row>
    <row r="25" spans="1:7" x14ac:dyDescent="0.25">
      <c r="A25" t="s">
        <v>150</v>
      </c>
      <c r="B25" s="5">
        <v>1.27272727272727</v>
      </c>
      <c r="C25" s="8">
        <v>0</v>
      </c>
      <c r="D25" t="s">
        <v>53</v>
      </c>
      <c r="E25" s="5">
        <v>41.248211915969272</v>
      </c>
      <c r="F25">
        <v>0</v>
      </c>
      <c r="G25" s="5">
        <f>B25-E25</f>
        <v>-39.975484643241998</v>
      </c>
    </row>
    <row r="26" spans="1:7" x14ac:dyDescent="0.25">
      <c r="A26" t="s">
        <v>139</v>
      </c>
      <c r="B26" s="5">
        <v>1.2727272727272729</v>
      </c>
      <c r="C26" s="8">
        <v>0</v>
      </c>
      <c r="D26" t="s">
        <v>53</v>
      </c>
      <c r="E26" s="5">
        <v>41.248211915969272</v>
      </c>
      <c r="F26">
        <v>0</v>
      </c>
      <c r="G26" s="5">
        <f>B26-E26</f>
        <v>-39.975484643241998</v>
      </c>
    </row>
    <row r="27" spans="1:7" x14ac:dyDescent="0.25">
      <c r="A27" t="s">
        <v>140</v>
      </c>
      <c r="B27" s="5">
        <v>1.2727272727272729</v>
      </c>
      <c r="C27" s="8">
        <v>0</v>
      </c>
      <c r="D27" t="s">
        <v>53</v>
      </c>
      <c r="E27" s="5">
        <v>41.248211915969272</v>
      </c>
      <c r="F27">
        <v>0</v>
      </c>
      <c r="G27" s="5">
        <f>B27-E27</f>
        <v>-39.975484643241998</v>
      </c>
    </row>
    <row r="28" spans="1:7" x14ac:dyDescent="0.25">
      <c r="A28" t="s">
        <v>93</v>
      </c>
      <c r="B28" s="5">
        <v>1.2727272727272729</v>
      </c>
      <c r="C28" s="8">
        <v>0</v>
      </c>
      <c r="D28" t="s">
        <v>53</v>
      </c>
      <c r="E28" s="5">
        <v>41.248211915969272</v>
      </c>
      <c r="F28">
        <v>0</v>
      </c>
      <c r="G28" s="5">
        <f>B28-E28</f>
        <v>-39.975484643241998</v>
      </c>
    </row>
    <row r="29" spans="1:7" x14ac:dyDescent="0.25">
      <c r="A29" t="s">
        <v>115</v>
      </c>
      <c r="B29" s="5">
        <v>1.2727272727272729</v>
      </c>
      <c r="C29" s="8">
        <v>0</v>
      </c>
      <c r="D29" t="s">
        <v>53</v>
      </c>
      <c r="E29" s="5">
        <v>41.248211915969272</v>
      </c>
      <c r="F29">
        <v>0</v>
      </c>
      <c r="G29" s="5">
        <f>B29-E29</f>
        <v>-39.975484643241998</v>
      </c>
    </row>
    <row r="30" spans="1:7" x14ac:dyDescent="0.25">
      <c r="A30" t="s">
        <v>125</v>
      </c>
      <c r="B30" s="5">
        <v>1.2727272727272729</v>
      </c>
      <c r="C30" s="8">
        <v>1</v>
      </c>
      <c r="D30" t="s">
        <v>53</v>
      </c>
      <c r="E30" s="5">
        <v>41.248211915969272</v>
      </c>
      <c r="F30">
        <v>0</v>
      </c>
      <c r="G30" s="5">
        <f>B30-E30</f>
        <v>-39.975484643241998</v>
      </c>
    </row>
    <row r="31" spans="1:7" x14ac:dyDescent="0.25">
      <c r="A31" t="s">
        <v>106</v>
      </c>
      <c r="B31" s="5">
        <v>1.2727272727272729</v>
      </c>
      <c r="C31" s="8">
        <v>1</v>
      </c>
      <c r="D31" t="s">
        <v>53</v>
      </c>
      <c r="E31" s="5">
        <v>41.248211915969272</v>
      </c>
      <c r="F31">
        <v>0</v>
      </c>
      <c r="G31" s="5">
        <f>B31-E31</f>
        <v>-39.975484643241998</v>
      </c>
    </row>
    <row r="32" spans="1:7" x14ac:dyDescent="0.25">
      <c r="A32" t="s">
        <v>142</v>
      </c>
      <c r="B32" s="5">
        <v>1.27272727272727</v>
      </c>
      <c r="C32" s="8">
        <v>1</v>
      </c>
      <c r="D32" t="s">
        <v>53</v>
      </c>
      <c r="E32" s="5">
        <v>41.248211915969272</v>
      </c>
      <c r="F32">
        <v>0</v>
      </c>
      <c r="G32" s="5">
        <f>B32-E32</f>
        <v>-39.975484643241998</v>
      </c>
    </row>
    <row r="33" spans="1:7" x14ac:dyDescent="0.25">
      <c r="A33" t="s">
        <v>143</v>
      </c>
      <c r="B33" s="5">
        <v>1.27272727272727</v>
      </c>
      <c r="C33" s="8">
        <v>1</v>
      </c>
      <c r="D33" t="s">
        <v>53</v>
      </c>
      <c r="E33" s="5">
        <v>41.248211915969272</v>
      </c>
      <c r="F33">
        <v>0</v>
      </c>
      <c r="G33" s="5">
        <f>B33-E33</f>
        <v>-39.975484643241998</v>
      </c>
    </row>
    <row r="34" spans="1:7" x14ac:dyDescent="0.25">
      <c r="A34" t="s">
        <v>147</v>
      </c>
      <c r="B34" s="5">
        <v>1.27272727272727</v>
      </c>
      <c r="C34" s="8">
        <v>1</v>
      </c>
      <c r="D34" t="s">
        <v>53</v>
      </c>
      <c r="E34" s="5">
        <v>41.248211915969272</v>
      </c>
      <c r="F34">
        <v>0</v>
      </c>
      <c r="G34" s="5">
        <f>B34-E34</f>
        <v>-39.975484643241998</v>
      </c>
    </row>
    <row r="35" spans="1:7" x14ac:dyDescent="0.25">
      <c r="A35" t="s">
        <v>138</v>
      </c>
      <c r="B35" s="5">
        <v>1.27272727272727</v>
      </c>
      <c r="C35" s="8">
        <v>1</v>
      </c>
      <c r="D35" t="s">
        <v>53</v>
      </c>
      <c r="E35" s="5">
        <v>41.248211915969272</v>
      </c>
      <c r="F35">
        <v>0</v>
      </c>
      <c r="G35" s="5">
        <f>B35-E35</f>
        <v>-39.975484643241998</v>
      </c>
    </row>
    <row r="36" spans="1:7" x14ac:dyDescent="0.25">
      <c r="A36" t="s">
        <v>57</v>
      </c>
      <c r="B36" s="5">
        <v>2.2402628909179128</v>
      </c>
      <c r="C36" s="8">
        <v>1</v>
      </c>
      <c r="D36" t="s">
        <v>53</v>
      </c>
      <c r="E36" s="5">
        <v>41.248211915969272</v>
      </c>
      <c r="F36">
        <v>0</v>
      </c>
      <c r="G36" s="5">
        <f>B36-E36</f>
        <v>-39.00794902505136</v>
      </c>
    </row>
    <row r="37" spans="1:7" x14ac:dyDescent="0.25">
      <c r="A37" t="s">
        <v>88</v>
      </c>
      <c r="B37" s="5">
        <v>5.6666666666666661</v>
      </c>
      <c r="C37" s="8">
        <v>1</v>
      </c>
      <c r="D37" t="s">
        <v>53</v>
      </c>
      <c r="E37" s="5">
        <v>41.248211915969272</v>
      </c>
      <c r="F37">
        <v>0</v>
      </c>
      <c r="G37" s="5">
        <f>B37-E37</f>
        <v>-35.581545249302607</v>
      </c>
    </row>
    <row r="38" spans="1:7" x14ac:dyDescent="0.25">
      <c r="A38" t="s">
        <v>49</v>
      </c>
      <c r="B38" s="5">
        <v>1.2727272727272729</v>
      </c>
      <c r="C38" s="8">
        <v>0</v>
      </c>
      <c r="D38" t="s">
        <v>50</v>
      </c>
      <c r="E38" s="5">
        <v>22.636363636363637</v>
      </c>
      <c r="F38">
        <v>0</v>
      </c>
      <c r="G38" s="5">
        <f>B38-E38</f>
        <v>-21.363636363636363</v>
      </c>
    </row>
    <row r="39" spans="1:7" x14ac:dyDescent="0.25">
      <c r="A39" t="s">
        <v>43</v>
      </c>
      <c r="B39" s="5">
        <v>1.2727272727272729</v>
      </c>
      <c r="C39" s="8">
        <v>0</v>
      </c>
      <c r="D39" t="s">
        <v>44</v>
      </c>
      <c r="E39" s="5">
        <v>18.136363636363637</v>
      </c>
      <c r="F39">
        <v>1</v>
      </c>
      <c r="G39" s="5">
        <f>B39-E39</f>
        <v>-16.863636363636363</v>
      </c>
    </row>
    <row r="40" spans="1:7" x14ac:dyDescent="0.25">
      <c r="A40" t="s">
        <v>180</v>
      </c>
      <c r="B40" s="5">
        <v>14.98</v>
      </c>
      <c r="C40" s="8">
        <v>1</v>
      </c>
      <c r="D40" t="s">
        <v>181</v>
      </c>
      <c r="E40" s="5">
        <v>28.326666666666668</v>
      </c>
      <c r="F40">
        <v>1</v>
      </c>
      <c r="G40" s="5">
        <f>B40-E40</f>
        <v>-13.346666666666668</v>
      </c>
    </row>
    <row r="41" spans="1:7" x14ac:dyDescent="0.25">
      <c r="A41" t="s">
        <v>163</v>
      </c>
      <c r="B41" s="5">
        <v>0.95147986414361962</v>
      </c>
      <c r="C41" s="8">
        <v>1</v>
      </c>
      <c r="D41" t="s">
        <v>164</v>
      </c>
      <c r="E41" s="5">
        <v>10.002856071633365</v>
      </c>
      <c r="F41">
        <v>1</v>
      </c>
      <c r="G41" s="5">
        <f>B41-E41</f>
        <v>-9.0513762074897457</v>
      </c>
    </row>
    <row r="42" spans="1:7" x14ac:dyDescent="0.25">
      <c r="A42" t="s">
        <v>164</v>
      </c>
      <c r="B42" s="5">
        <v>0.95147986414361962</v>
      </c>
      <c r="C42" s="8">
        <v>1</v>
      </c>
      <c r="D42" t="s">
        <v>164</v>
      </c>
      <c r="E42" s="5">
        <v>10.002856071633365</v>
      </c>
      <c r="F42">
        <v>1</v>
      </c>
      <c r="G42" s="5">
        <f>B42-E42</f>
        <v>-9.0513762074897457</v>
      </c>
    </row>
    <row r="43" spans="1:7" x14ac:dyDescent="0.25">
      <c r="A43" t="s">
        <v>166</v>
      </c>
      <c r="B43" s="5">
        <v>1.1084645582462176</v>
      </c>
      <c r="C43" s="8">
        <v>1</v>
      </c>
      <c r="D43" t="s">
        <v>164</v>
      </c>
      <c r="E43" s="5">
        <v>10.002856071633365</v>
      </c>
      <c r="F43">
        <v>1</v>
      </c>
      <c r="G43" s="5">
        <f>B43-E43</f>
        <v>-8.8943915133871485</v>
      </c>
    </row>
    <row r="44" spans="1:7" x14ac:dyDescent="0.25">
      <c r="A44" t="s">
        <v>170</v>
      </c>
      <c r="B44" s="5">
        <v>35</v>
      </c>
      <c r="C44" s="8">
        <v>1</v>
      </c>
      <c r="D44" t="s">
        <v>168</v>
      </c>
      <c r="E44" s="5">
        <v>39.666666666666664</v>
      </c>
      <c r="F44">
        <v>1</v>
      </c>
      <c r="G44" s="5">
        <f>B44-E44</f>
        <v>-4.6666666666666643</v>
      </c>
    </row>
    <row r="45" spans="1:7" x14ac:dyDescent="0.25">
      <c r="A45" t="s">
        <v>77</v>
      </c>
      <c r="B45" s="5">
        <v>37</v>
      </c>
      <c r="C45" s="8">
        <v>1</v>
      </c>
      <c r="D45" t="s">
        <v>53</v>
      </c>
      <c r="E45" s="5">
        <v>41.248211915969272</v>
      </c>
      <c r="F45">
        <v>0</v>
      </c>
      <c r="G45" s="5">
        <f>B45-E45</f>
        <v>-4.2482119159692715</v>
      </c>
    </row>
    <row r="46" spans="1:7" x14ac:dyDescent="0.25">
      <c r="A46" t="s">
        <v>86</v>
      </c>
      <c r="B46" s="5">
        <v>37</v>
      </c>
      <c r="C46" s="8">
        <v>1</v>
      </c>
      <c r="D46" t="s">
        <v>53</v>
      </c>
      <c r="E46" s="5">
        <v>41.248211915969272</v>
      </c>
      <c r="F46">
        <v>0</v>
      </c>
      <c r="G46" s="5">
        <f>B46-E46</f>
        <v>-4.2482119159692715</v>
      </c>
    </row>
    <row r="47" spans="1:7" x14ac:dyDescent="0.25">
      <c r="A47" t="s">
        <v>75</v>
      </c>
      <c r="B47" s="5">
        <v>37</v>
      </c>
      <c r="C47" s="8">
        <v>1</v>
      </c>
      <c r="D47" t="s">
        <v>53</v>
      </c>
      <c r="E47" s="5">
        <v>41.248211915969272</v>
      </c>
      <c r="F47">
        <v>0</v>
      </c>
      <c r="G47" s="5">
        <f>B47-E47</f>
        <v>-4.2482119159692715</v>
      </c>
    </row>
    <row r="48" spans="1:7" x14ac:dyDescent="0.25">
      <c r="A48" t="s">
        <v>109</v>
      </c>
      <c r="B48" s="5">
        <v>37</v>
      </c>
      <c r="C48" s="8">
        <v>1</v>
      </c>
      <c r="D48" t="s">
        <v>53</v>
      </c>
      <c r="E48" s="5">
        <v>41.248211915969272</v>
      </c>
      <c r="F48">
        <v>0</v>
      </c>
      <c r="G48" s="5">
        <f>B48-E48</f>
        <v>-4.2482119159692715</v>
      </c>
    </row>
    <row r="49" spans="1:7" x14ac:dyDescent="0.25">
      <c r="A49" t="s">
        <v>63</v>
      </c>
      <c r="B49" s="5">
        <v>37</v>
      </c>
      <c r="C49" s="8">
        <v>1</v>
      </c>
      <c r="D49" t="s">
        <v>53</v>
      </c>
      <c r="E49" s="5">
        <v>41.248211915969272</v>
      </c>
      <c r="F49">
        <v>0</v>
      </c>
      <c r="G49" s="5">
        <f>B49-E49</f>
        <v>-4.2482119159692715</v>
      </c>
    </row>
    <row r="50" spans="1:7" x14ac:dyDescent="0.25">
      <c r="A50" t="s">
        <v>92</v>
      </c>
      <c r="B50" s="5">
        <v>37</v>
      </c>
      <c r="C50" s="8">
        <v>1</v>
      </c>
      <c r="D50" t="s">
        <v>53</v>
      </c>
      <c r="E50" s="5">
        <v>41.248211915969272</v>
      </c>
      <c r="F50">
        <v>0</v>
      </c>
      <c r="G50" s="5">
        <f>B50-E50</f>
        <v>-4.2482119159692715</v>
      </c>
    </row>
    <row r="51" spans="1:7" x14ac:dyDescent="0.25">
      <c r="A51" t="s">
        <v>108</v>
      </c>
      <c r="B51" s="5">
        <v>37</v>
      </c>
      <c r="C51" s="8">
        <v>1</v>
      </c>
      <c r="D51" t="s">
        <v>53</v>
      </c>
      <c r="E51" s="5">
        <v>41.248211915969272</v>
      </c>
      <c r="F51">
        <v>0</v>
      </c>
      <c r="G51" s="5">
        <f>B51-E51</f>
        <v>-4.2482119159692715</v>
      </c>
    </row>
    <row r="52" spans="1:7" x14ac:dyDescent="0.25">
      <c r="A52" t="s">
        <v>71</v>
      </c>
      <c r="B52" s="5">
        <v>37</v>
      </c>
      <c r="C52" s="8">
        <v>1</v>
      </c>
      <c r="D52" t="s">
        <v>53</v>
      </c>
      <c r="E52" s="5">
        <v>41.248211915969272</v>
      </c>
      <c r="F52">
        <v>0</v>
      </c>
      <c r="G52" s="5">
        <f>B52-E52</f>
        <v>-4.2482119159692715</v>
      </c>
    </row>
    <row r="53" spans="1:7" x14ac:dyDescent="0.25">
      <c r="A53" t="s">
        <v>123</v>
      </c>
      <c r="B53" s="5">
        <v>37</v>
      </c>
      <c r="C53" s="8">
        <v>1</v>
      </c>
      <c r="D53" t="s">
        <v>53</v>
      </c>
      <c r="E53" s="5">
        <v>41.248211915969272</v>
      </c>
      <c r="F53">
        <v>0</v>
      </c>
      <c r="G53" s="5">
        <f>B53-E53</f>
        <v>-4.2482119159692715</v>
      </c>
    </row>
    <row r="54" spans="1:7" x14ac:dyDescent="0.25">
      <c r="A54" t="s">
        <v>160</v>
      </c>
      <c r="B54" s="5">
        <v>0.95147986414361962</v>
      </c>
      <c r="C54" s="8">
        <v>0</v>
      </c>
      <c r="D54" t="s">
        <v>161</v>
      </c>
      <c r="E54" s="5">
        <v>3.7257399320718099</v>
      </c>
      <c r="F54">
        <v>1</v>
      </c>
      <c r="G54" s="5">
        <f>B54-E54</f>
        <v>-2.7742600679281901</v>
      </c>
    </row>
    <row r="55" spans="1:7" x14ac:dyDescent="0.25">
      <c r="A55" t="s">
        <v>158</v>
      </c>
      <c r="B55" s="5">
        <v>23.5</v>
      </c>
      <c r="C55" s="8">
        <v>1</v>
      </c>
      <c r="D55" t="s">
        <v>158</v>
      </c>
      <c r="E55" s="5">
        <v>26.25</v>
      </c>
      <c r="F55">
        <v>1</v>
      </c>
      <c r="G55" s="5">
        <f>B55-E55</f>
        <v>-2.75</v>
      </c>
    </row>
    <row r="56" spans="1:7" x14ac:dyDescent="0.25">
      <c r="A56" t="s">
        <v>129</v>
      </c>
      <c r="B56" s="5">
        <v>39</v>
      </c>
      <c r="C56" s="8">
        <v>0</v>
      </c>
      <c r="D56" t="s">
        <v>53</v>
      </c>
      <c r="E56" s="5">
        <v>41.248211915969272</v>
      </c>
      <c r="F56">
        <v>0</v>
      </c>
      <c r="G56" s="5">
        <f>B56-E56</f>
        <v>-2.2482119159692715</v>
      </c>
    </row>
    <row r="57" spans="1:7" x14ac:dyDescent="0.25">
      <c r="A57" t="s">
        <v>74</v>
      </c>
      <c r="B57" s="5">
        <v>39</v>
      </c>
      <c r="C57" s="8">
        <v>1</v>
      </c>
      <c r="D57" t="s">
        <v>53</v>
      </c>
      <c r="E57" s="5">
        <v>41.248211915969272</v>
      </c>
      <c r="F57">
        <v>0</v>
      </c>
      <c r="G57" s="5">
        <f>B57-E57</f>
        <v>-2.2482119159692715</v>
      </c>
    </row>
    <row r="58" spans="1:7" x14ac:dyDescent="0.25">
      <c r="A58" t="s">
        <v>91</v>
      </c>
      <c r="B58" s="5">
        <v>39</v>
      </c>
      <c r="C58" s="8">
        <v>1</v>
      </c>
      <c r="D58" t="s">
        <v>53</v>
      </c>
      <c r="E58" s="5">
        <v>41.248211915969272</v>
      </c>
      <c r="F58">
        <v>0</v>
      </c>
      <c r="G58" s="5">
        <f>B58-E58</f>
        <v>-2.2482119159692715</v>
      </c>
    </row>
    <row r="59" spans="1:7" x14ac:dyDescent="0.25">
      <c r="A59" t="s">
        <v>84</v>
      </c>
      <c r="B59" s="5">
        <v>39</v>
      </c>
      <c r="C59" s="8">
        <v>1</v>
      </c>
      <c r="D59" t="s">
        <v>53</v>
      </c>
      <c r="E59" s="5">
        <v>41.248211915969272</v>
      </c>
      <c r="F59">
        <v>0</v>
      </c>
      <c r="G59" s="5">
        <f>B59-E59</f>
        <v>-2.2482119159692715</v>
      </c>
    </row>
    <row r="60" spans="1:7" x14ac:dyDescent="0.25">
      <c r="A60" t="s">
        <v>167</v>
      </c>
      <c r="B60" s="5">
        <v>39</v>
      </c>
      <c r="C60" s="8">
        <v>1</v>
      </c>
      <c r="D60" t="s">
        <v>168</v>
      </c>
      <c r="E60" s="5">
        <v>39.666666666666664</v>
      </c>
      <c r="F60">
        <v>1</v>
      </c>
      <c r="G60" s="5">
        <f>B60-E60</f>
        <v>-0.6666666666666643</v>
      </c>
    </row>
    <row r="61" spans="1:7" x14ac:dyDescent="0.25">
      <c r="A61" t="s">
        <v>157</v>
      </c>
      <c r="B61" s="5">
        <v>1.2727272727272729</v>
      </c>
      <c r="C61" s="8">
        <v>0</v>
      </c>
      <c r="D61" t="s">
        <v>152</v>
      </c>
      <c r="E61" s="5">
        <v>1.9176683134106718</v>
      </c>
      <c r="F61">
        <v>0</v>
      </c>
      <c r="G61" s="5">
        <f>B61-E61</f>
        <v>-0.64494104068339886</v>
      </c>
    </row>
    <row r="62" spans="1:7" x14ac:dyDescent="0.25">
      <c r="A62" t="s">
        <v>156</v>
      </c>
      <c r="B62" s="5">
        <v>1.2727272727272729</v>
      </c>
      <c r="C62" s="8">
        <v>0</v>
      </c>
      <c r="D62" t="s">
        <v>152</v>
      </c>
      <c r="E62" s="5">
        <v>1.9176683134106718</v>
      </c>
      <c r="F62">
        <v>0</v>
      </c>
      <c r="G62" s="5">
        <f>B62-E62</f>
        <v>-0.64494104068339886</v>
      </c>
    </row>
    <row r="63" spans="1:7" x14ac:dyDescent="0.25">
      <c r="A63" t="s">
        <v>151</v>
      </c>
      <c r="B63" s="5">
        <v>1.2727272727272729</v>
      </c>
      <c r="C63" s="8">
        <v>0</v>
      </c>
      <c r="D63" t="s">
        <v>152</v>
      </c>
      <c r="E63" s="5">
        <v>1.9176683134106718</v>
      </c>
      <c r="F63">
        <v>0</v>
      </c>
      <c r="G63" s="5">
        <f>B63-E63</f>
        <v>-0.64494104068339886</v>
      </c>
    </row>
    <row r="64" spans="1:7" x14ac:dyDescent="0.25">
      <c r="A64" t="s">
        <v>154</v>
      </c>
      <c r="B64" s="5">
        <v>1.2727272727272729</v>
      </c>
      <c r="C64" s="8">
        <v>0</v>
      </c>
      <c r="D64" t="s">
        <v>152</v>
      </c>
      <c r="E64" s="5">
        <v>1.9176683134106718</v>
      </c>
      <c r="F64">
        <v>0</v>
      </c>
      <c r="G64" s="5">
        <f>B64-E64</f>
        <v>-0.64494104068339886</v>
      </c>
    </row>
    <row r="65" spans="1:7" x14ac:dyDescent="0.25">
      <c r="A65" t="s">
        <v>40</v>
      </c>
      <c r="B65" s="5">
        <v>2.6331436637113494</v>
      </c>
      <c r="C65" s="8">
        <v>0</v>
      </c>
      <c r="D65" t="s">
        <v>41</v>
      </c>
      <c r="E65" s="5">
        <v>3.232455559966477</v>
      </c>
      <c r="F65">
        <v>0</v>
      </c>
      <c r="G65" s="5">
        <f>B65-E65</f>
        <v>-0.5993118962551276</v>
      </c>
    </row>
    <row r="66" spans="1:7" x14ac:dyDescent="0.25">
      <c r="A66" t="s">
        <v>184</v>
      </c>
      <c r="B66" s="5">
        <v>1.27272727272727</v>
      </c>
      <c r="C66" s="8">
        <v>0</v>
      </c>
      <c r="D66" t="s">
        <v>185</v>
      </c>
      <c r="E66" s="5">
        <v>1.27272727272727</v>
      </c>
      <c r="F66">
        <v>0</v>
      </c>
      <c r="G66" s="5">
        <f>B66-E66</f>
        <v>0</v>
      </c>
    </row>
    <row r="67" spans="1:7" x14ac:dyDescent="0.25">
      <c r="A67" t="s">
        <v>21</v>
      </c>
      <c r="B67" s="5">
        <v>1.9946627850557981</v>
      </c>
      <c r="C67" s="8">
        <v>0</v>
      </c>
      <c r="D67" t="s">
        <v>22</v>
      </c>
      <c r="E67" s="5">
        <v>1.9946627850557981</v>
      </c>
      <c r="F67">
        <v>0</v>
      </c>
      <c r="G67" s="5">
        <f>B67-E67</f>
        <v>0</v>
      </c>
    </row>
    <row r="68" spans="1:7" x14ac:dyDescent="0.25">
      <c r="A68" t="s">
        <v>174</v>
      </c>
      <c r="B68" s="5">
        <v>1.2727272727272729</v>
      </c>
      <c r="C68" s="8">
        <v>0</v>
      </c>
      <c r="D68" t="s">
        <v>175</v>
      </c>
      <c r="E68" s="5">
        <v>1.2727272727272729</v>
      </c>
      <c r="F68">
        <v>0</v>
      </c>
      <c r="G68" s="5">
        <f>B68-E68</f>
        <v>0</v>
      </c>
    </row>
    <row r="69" spans="1:7" x14ac:dyDescent="0.25">
      <c r="A69" t="s">
        <v>179</v>
      </c>
      <c r="B69" s="5">
        <v>1.2727272727272729</v>
      </c>
      <c r="C69" s="8">
        <v>0</v>
      </c>
      <c r="D69" t="s">
        <v>175</v>
      </c>
      <c r="E69" s="5">
        <v>1.2727272727272729</v>
      </c>
      <c r="F69">
        <v>0</v>
      </c>
      <c r="G69" s="5">
        <f>B69-E69</f>
        <v>0</v>
      </c>
    </row>
    <row r="70" spans="1:7" x14ac:dyDescent="0.25">
      <c r="A70" t="s">
        <v>178</v>
      </c>
      <c r="B70" s="5">
        <v>1.2727272727272729</v>
      </c>
      <c r="C70" s="8">
        <v>0</v>
      </c>
      <c r="D70" t="s">
        <v>175</v>
      </c>
      <c r="E70" s="5">
        <v>1.2727272727272729</v>
      </c>
      <c r="F70">
        <v>0</v>
      </c>
      <c r="G70" s="5">
        <f>B70-E70</f>
        <v>0</v>
      </c>
    </row>
    <row r="71" spans="1:7" x14ac:dyDescent="0.25">
      <c r="A71" t="s">
        <v>177</v>
      </c>
      <c r="B71" s="5">
        <v>1.2727272727272729</v>
      </c>
      <c r="C71" s="8">
        <v>0</v>
      </c>
      <c r="D71" t="s">
        <v>175</v>
      </c>
      <c r="E71" s="5">
        <v>1.2727272727272729</v>
      </c>
      <c r="F71">
        <v>0</v>
      </c>
      <c r="G71" s="5">
        <f>B71-E71</f>
        <v>0</v>
      </c>
    </row>
    <row r="72" spans="1:7" x14ac:dyDescent="0.25">
      <c r="A72" t="s">
        <v>176</v>
      </c>
      <c r="B72" s="5">
        <v>1.2727272727272729</v>
      </c>
      <c r="C72" s="8">
        <v>0</v>
      </c>
      <c r="D72" t="s">
        <v>175</v>
      </c>
      <c r="E72" s="5">
        <v>1.2727272727272729</v>
      </c>
      <c r="F72">
        <v>0</v>
      </c>
      <c r="G72" s="5">
        <f>B72-E72</f>
        <v>0</v>
      </c>
    </row>
    <row r="73" spans="1:7" x14ac:dyDescent="0.25">
      <c r="A73" t="s">
        <v>36</v>
      </c>
      <c r="B73" s="5">
        <v>1.2727272727272729</v>
      </c>
      <c r="C73" s="8">
        <v>0</v>
      </c>
      <c r="D73" t="s">
        <v>37</v>
      </c>
      <c r="E73" s="5">
        <v>1.2727272727272729</v>
      </c>
      <c r="F73">
        <v>0</v>
      </c>
      <c r="G73" s="5">
        <f>B73-E73</f>
        <v>0</v>
      </c>
    </row>
    <row r="74" spans="1:7" x14ac:dyDescent="0.25">
      <c r="A74" t="s">
        <v>0</v>
      </c>
      <c r="B74" s="5">
        <v>51.5</v>
      </c>
      <c r="C74" s="8">
        <v>1</v>
      </c>
      <c r="D74" t="s">
        <v>1</v>
      </c>
      <c r="E74" s="5">
        <v>51.5</v>
      </c>
      <c r="F74">
        <v>1</v>
      </c>
      <c r="G74" s="5">
        <f>B74-E74</f>
        <v>0</v>
      </c>
    </row>
    <row r="75" spans="1:7" x14ac:dyDescent="0.25">
      <c r="A75" t="s">
        <v>2</v>
      </c>
      <c r="B75" s="5">
        <v>14.9833</v>
      </c>
      <c r="C75" s="8">
        <v>1</v>
      </c>
      <c r="D75" t="s">
        <v>3</v>
      </c>
      <c r="E75" s="5">
        <v>14.9833</v>
      </c>
      <c r="F75">
        <v>1</v>
      </c>
      <c r="G75" s="5">
        <f>B75-E75</f>
        <v>0</v>
      </c>
    </row>
    <row r="76" spans="1:7" x14ac:dyDescent="0.25">
      <c r="A76" t="s">
        <v>4</v>
      </c>
      <c r="B76" s="5">
        <v>37</v>
      </c>
      <c r="C76" s="8">
        <v>1</v>
      </c>
      <c r="D76" t="s">
        <v>5</v>
      </c>
      <c r="E76" s="5">
        <v>37</v>
      </c>
      <c r="F76">
        <v>1</v>
      </c>
      <c r="G76" s="5">
        <f>B76-E76</f>
        <v>0</v>
      </c>
    </row>
    <row r="77" spans="1:7" x14ac:dyDescent="0.25">
      <c r="A77" t="s">
        <v>6</v>
      </c>
      <c r="B77" s="5">
        <v>14.98</v>
      </c>
      <c r="C77" s="8">
        <v>1</v>
      </c>
      <c r="D77" t="s">
        <v>7</v>
      </c>
      <c r="E77" s="5">
        <v>14.98</v>
      </c>
      <c r="F77">
        <v>1</v>
      </c>
      <c r="G77" s="5">
        <f>B77-E77</f>
        <v>0</v>
      </c>
    </row>
    <row r="78" spans="1:7" x14ac:dyDescent="0.25">
      <c r="A78" t="s">
        <v>46</v>
      </c>
      <c r="B78" s="5">
        <v>37</v>
      </c>
      <c r="C78" s="8">
        <v>1</v>
      </c>
      <c r="D78" t="s">
        <v>47</v>
      </c>
      <c r="E78" s="5">
        <v>37</v>
      </c>
      <c r="F78">
        <v>1</v>
      </c>
      <c r="G78" s="5">
        <f>B78-E78</f>
        <v>0</v>
      </c>
    </row>
    <row r="79" spans="1:7" x14ac:dyDescent="0.25">
      <c r="A79" t="s">
        <v>48</v>
      </c>
      <c r="B79" s="5">
        <v>37</v>
      </c>
      <c r="C79" s="8">
        <v>1</v>
      </c>
      <c r="D79" t="s">
        <v>47</v>
      </c>
      <c r="E79" s="5">
        <v>37</v>
      </c>
      <c r="F79">
        <v>1</v>
      </c>
      <c r="G79" s="5">
        <f>B79-E79</f>
        <v>0</v>
      </c>
    </row>
    <row r="80" spans="1:7" x14ac:dyDescent="0.25">
      <c r="A80" t="s">
        <v>8</v>
      </c>
      <c r="B80" s="5">
        <v>57</v>
      </c>
      <c r="C80" s="8">
        <v>1</v>
      </c>
      <c r="D80" t="s">
        <v>9</v>
      </c>
      <c r="E80" s="5">
        <v>57</v>
      </c>
      <c r="F80">
        <v>1</v>
      </c>
      <c r="G80" s="5">
        <f>B80-E80</f>
        <v>0</v>
      </c>
    </row>
    <row r="81" spans="1:7" x14ac:dyDescent="0.25">
      <c r="A81" t="s">
        <v>10</v>
      </c>
      <c r="B81" s="5">
        <v>10.0749</v>
      </c>
      <c r="C81" s="8">
        <v>1</v>
      </c>
      <c r="D81" t="s">
        <v>11</v>
      </c>
      <c r="E81" s="5">
        <v>10.0749</v>
      </c>
      <c r="F81">
        <v>1</v>
      </c>
      <c r="G81" s="5">
        <f>B81-E81</f>
        <v>0</v>
      </c>
    </row>
    <row r="82" spans="1:7" x14ac:dyDescent="0.25">
      <c r="A82" t="s">
        <v>12</v>
      </c>
      <c r="B82" s="5">
        <v>5.6666666666666661</v>
      </c>
      <c r="C82" s="8">
        <v>1</v>
      </c>
      <c r="D82" t="s">
        <v>13</v>
      </c>
      <c r="E82" s="5">
        <v>5.6666666666666661</v>
      </c>
      <c r="F82">
        <v>1</v>
      </c>
      <c r="G82" s="5">
        <f>B82-E82</f>
        <v>0</v>
      </c>
    </row>
    <row r="83" spans="1:7" x14ac:dyDescent="0.25">
      <c r="A83" t="s">
        <v>14</v>
      </c>
      <c r="B83" s="5">
        <v>35</v>
      </c>
      <c r="C83" s="8">
        <v>1</v>
      </c>
      <c r="D83" t="s">
        <v>14</v>
      </c>
      <c r="E83" s="5">
        <v>35</v>
      </c>
      <c r="F83">
        <v>1</v>
      </c>
      <c r="G83" s="5">
        <f>B83-E83</f>
        <v>0</v>
      </c>
    </row>
    <row r="84" spans="1:7" x14ac:dyDescent="0.25">
      <c r="A84" t="s">
        <v>15</v>
      </c>
      <c r="B84" s="5">
        <v>12.12</v>
      </c>
      <c r="C84" s="8">
        <v>1</v>
      </c>
      <c r="D84" t="s">
        <v>16</v>
      </c>
      <c r="E84" s="5">
        <v>12.12</v>
      </c>
      <c r="F84">
        <v>1</v>
      </c>
      <c r="G84" s="5">
        <f>B84-E84</f>
        <v>0</v>
      </c>
    </row>
    <row r="85" spans="1:7" x14ac:dyDescent="0.25">
      <c r="A85" t="s">
        <v>17</v>
      </c>
      <c r="B85" s="5">
        <v>1.6486259979709761</v>
      </c>
      <c r="C85" s="8">
        <v>1</v>
      </c>
      <c r="D85" t="s">
        <v>17</v>
      </c>
      <c r="E85" s="5">
        <v>1.6486259979709761</v>
      </c>
      <c r="F85">
        <v>1</v>
      </c>
      <c r="G85" s="5">
        <f>B85-E85</f>
        <v>0</v>
      </c>
    </row>
    <row r="86" spans="1:7" x14ac:dyDescent="0.25">
      <c r="A86" t="s">
        <v>18</v>
      </c>
      <c r="B86" s="5">
        <v>1.9029597282872392</v>
      </c>
      <c r="C86" s="8">
        <v>1</v>
      </c>
      <c r="D86" t="s">
        <v>18</v>
      </c>
      <c r="E86" s="5">
        <v>1.9029597282872392</v>
      </c>
      <c r="F86">
        <v>1</v>
      </c>
      <c r="G86" s="5">
        <f>B86-E86</f>
        <v>0</v>
      </c>
    </row>
    <row r="87" spans="1:7" x14ac:dyDescent="0.25">
      <c r="A87" t="s">
        <v>19</v>
      </c>
      <c r="B87" s="5">
        <v>44</v>
      </c>
      <c r="C87" s="8">
        <v>1</v>
      </c>
      <c r="D87" t="s">
        <v>20</v>
      </c>
      <c r="E87" s="5">
        <v>44</v>
      </c>
      <c r="F87">
        <v>1</v>
      </c>
      <c r="G87" s="5">
        <f>B87-E87</f>
        <v>0</v>
      </c>
    </row>
    <row r="88" spans="1:7" x14ac:dyDescent="0.25">
      <c r="A88" t="s">
        <v>23</v>
      </c>
      <c r="B88" s="5">
        <v>44</v>
      </c>
      <c r="C88" s="8">
        <v>1</v>
      </c>
      <c r="D88" t="s">
        <v>24</v>
      </c>
      <c r="E88" s="5">
        <v>44</v>
      </c>
      <c r="F88">
        <v>1</v>
      </c>
      <c r="G88" s="5">
        <f>B88-E88</f>
        <v>0</v>
      </c>
    </row>
    <row r="89" spans="1:7" x14ac:dyDescent="0.25">
      <c r="A89" t="s">
        <v>25</v>
      </c>
      <c r="B89" s="5">
        <v>44</v>
      </c>
      <c r="C89" s="8">
        <v>1</v>
      </c>
      <c r="D89" t="s">
        <v>26</v>
      </c>
      <c r="E89" s="5">
        <v>44</v>
      </c>
      <c r="F89">
        <v>1</v>
      </c>
      <c r="G89" s="5">
        <f>B89-E89</f>
        <v>0</v>
      </c>
    </row>
    <row r="90" spans="1:7" x14ac:dyDescent="0.25">
      <c r="A90" t="s">
        <v>27</v>
      </c>
      <c r="B90" s="5">
        <v>1.9946627850557981</v>
      </c>
      <c r="C90" s="8">
        <v>1</v>
      </c>
      <c r="D90" t="s">
        <v>28</v>
      </c>
      <c r="E90" s="5">
        <v>1.9946627850557981</v>
      </c>
      <c r="F90">
        <v>1</v>
      </c>
      <c r="G90" s="5">
        <f>B90-E90</f>
        <v>0</v>
      </c>
    </row>
    <row r="91" spans="1:7" x14ac:dyDescent="0.25">
      <c r="A91" t="s">
        <v>29</v>
      </c>
      <c r="B91" s="5">
        <v>12.121600000000001</v>
      </c>
      <c r="C91" s="8">
        <v>1</v>
      </c>
      <c r="D91" t="s">
        <v>30</v>
      </c>
      <c r="E91" s="5">
        <v>12.121600000000001</v>
      </c>
      <c r="F91">
        <v>1</v>
      </c>
      <c r="G91" s="5">
        <f>B91-E91</f>
        <v>0</v>
      </c>
    </row>
    <row r="92" spans="1:7" x14ac:dyDescent="0.25">
      <c r="A92" t="s">
        <v>31</v>
      </c>
      <c r="B92" s="5">
        <v>43</v>
      </c>
      <c r="C92" s="8">
        <v>1</v>
      </c>
      <c r="D92" t="s">
        <v>32</v>
      </c>
      <c r="E92" s="5">
        <v>43</v>
      </c>
      <c r="F92">
        <v>1</v>
      </c>
      <c r="G92" s="5">
        <f>B92-E92</f>
        <v>0</v>
      </c>
    </row>
    <row r="93" spans="1:7" x14ac:dyDescent="0.25">
      <c r="A93" t="s">
        <v>173</v>
      </c>
      <c r="B93" s="5">
        <v>45</v>
      </c>
      <c r="C93" s="8">
        <v>1</v>
      </c>
      <c r="D93" t="s">
        <v>172</v>
      </c>
      <c r="E93" s="5">
        <v>45</v>
      </c>
      <c r="F93">
        <v>1</v>
      </c>
      <c r="G93" s="5">
        <f>B93-E93</f>
        <v>0</v>
      </c>
    </row>
    <row r="94" spans="1:7" x14ac:dyDescent="0.25">
      <c r="A94" t="s">
        <v>171</v>
      </c>
      <c r="B94" s="5">
        <v>45</v>
      </c>
      <c r="C94" s="8">
        <v>1</v>
      </c>
      <c r="D94" t="s">
        <v>172</v>
      </c>
      <c r="E94" s="5">
        <v>45</v>
      </c>
      <c r="F94">
        <v>1</v>
      </c>
      <c r="G94" s="5">
        <f>B94-E94</f>
        <v>0</v>
      </c>
    </row>
    <row r="95" spans="1:7" x14ac:dyDescent="0.25">
      <c r="A95" t="s">
        <v>33</v>
      </c>
      <c r="B95" s="5">
        <v>19.196153846153848</v>
      </c>
      <c r="C95" s="8">
        <v>1</v>
      </c>
      <c r="D95" t="s">
        <v>34</v>
      </c>
      <c r="E95" s="5">
        <v>19.196153846153848</v>
      </c>
      <c r="F95">
        <v>1</v>
      </c>
      <c r="G95" s="5">
        <f>B95-E95</f>
        <v>0</v>
      </c>
    </row>
    <row r="96" spans="1:7" x14ac:dyDescent="0.25">
      <c r="A96" t="s">
        <v>35</v>
      </c>
      <c r="B96" s="5">
        <v>48</v>
      </c>
      <c r="C96" s="8">
        <v>1</v>
      </c>
      <c r="D96" t="s">
        <v>35</v>
      </c>
      <c r="E96" s="5">
        <v>48</v>
      </c>
      <c r="F96">
        <v>1</v>
      </c>
      <c r="G96" s="5">
        <f>B96-E96</f>
        <v>0</v>
      </c>
    </row>
    <row r="97" spans="1:7" x14ac:dyDescent="0.25">
      <c r="A97" t="s">
        <v>38</v>
      </c>
      <c r="B97" s="5">
        <v>0.95147986414361962</v>
      </c>
      <c r="C97" s="8">
        <v>1</v>
      </c>
      <c r="D97" t="s">
        <v>39</v>
      </c>
      <c r="E97" s="5">
        <v>0.95147986414361962</v>
      </c>
      <c r="F97">
        <v>1</v>
      </c>
      <c r="G97" s="5">
        <f>B97-E97</f>
        <v>0</v>
      </c>
    </row>
    <row r="98" spans="1:7" x14ac:dyDescent="0.25">
      <c r="A98" t="s">
        <v>42</v>
      </c>
      <c r="B98" s="5">
        <v>3.8317674562216046</v>
      </c>
      <c r="C98" s="8">
        <v>0</v>
      </c>
      <c r="D98" t="s">
        <v>41</v>
      </c>
      <c r="E98" s="5">
        <v>3.232455559966477</v>
      </c>
      <c r="F98">
        <v>0</v>
      </c>
      <c r="G98" s="5">
        <f>B98-E98</f>
        <v>0.5993118962551276</v>
      </c>
    </row>
    <row r="99" spans="1:7" x14ac:dyDescent="0.25">
      <c r="A99" t="s">
        <v>155</v>
      </c>
      <c r="B99" s="5">
        <v>2.5833333333333335</v>
      </c>
      <c r="C99" s="8">
        <v>0</v>
      </c>
      <c r="D99" t="s">
        <v>152</v>
      </c>
      <c r="E99" s="5">
        <v>1.9176683134106718</v>
      </c>
      <c r="F99">
        <v>0</v>
      </c>
      <c r="G99" s="5">
        <f>B99-E99</f>
        <v>0.66566501992266169</v>
      </c>
    </row>
    <row r="100" spans="1:7" x14ac:dyDescent="0.25">
      <c r="A100" t="s">
        <v>90</v>
      </c>
      <c r="B100" s="5">
        <v>43</v>
      </c>
      <c r="C100" s="8">
        <v>0</v>
      </c>
      <c r="D100" t="s">
        <v>53</v>
      </c>
      <c r="E100" s="5">
        <v>41.248211915969272</v>
      </c>
      <c r="F100">
        <v>0</v>
      </c>
      <c r="G100" s="5">
        <f>B100-E100</f>
        <v>1.7517880840307285</v>
      </c>
    </row>
    <row r="101" spans="1:7" x14ac:dyDescent="0.25">
      <c r="A101" t="s">
        <v>153</v>
      </c>
      <c r="B101" s="5">
        <v>3.8317674562216046</v>
      </c>
      <c r="C101" s="8">
        <v>0</v>
      </c>
      <c r="D101" t="s">
        <v>152</v>
      </c>
      <c r="E101" s="5">
        <v>1.9176683134106718</v>
      </c>
      <c r="F101">
        <v>0</v>
      </c>
      <c r="G101" s="5">
        <f>B101-E101</f>
        <v>1.9140991428109329</v>
      </c>
    </row>
    <row r="102" spans="1:7" x14ac:dyDescent="0.25">
      <c r="A102" t="s">
        <v>159</v>
      </c>
      <c r="B102" s="5">
        <v>29</v>
      </c>
      <c r="C102" s="8">
        <v>1</v>
      </c>
      <c r="D102" t="s">
        <v>158</v>
      </c>
      <c r="E102" s="5">
        <v>26.25</v>
      </c>
      <c r="F102">
        <v>1</v>
      </c>
      <c r="G102" s="5">
        <f>B102-E102</f>
        <v>2.75</v>
      </c>
    </row>
    <row r="103" spans="1:7" x14ac:dyDescent="0.25">
      <c r="A103" t="s">
        <v>137</v>
      </c>
      <c r="B103" s="5">
        <v>44</v>
      </c>
      <c r="C103" s="8">
        <v>0</v>
      </c>
      <c r="D103" t="s">
        <v>53</v>
      </c>
      <c r="E103" s="5">
        <v>41.248211915969272</v>
      </c>
      <c r="F103">
        <v>0</v>
      </c>
      <c r="G103" s="5">
        <f>B103-E103</f>
        <v>2.7517880840307285</v>
      </c>
    </row>
    <row r="104" spans="1:7" x14ac:dyDescent="0.25">
      <c r="A104" t="s">
        <v>114</v>
      </c>
      <c r="B104" s="5">
        <v>44</v>
      </c>
      <c r="C104" s="8">
        <v>0</v>
      </c>
      <c r="D104" t="s">
        <v>53</v>
      </c>
      <c r="E104" s="5">
        <v>41.248211915969272</v>
      </c>
      <c r="F104">
        <v>0</v>
      </c>
      <c r="G104" s="5">
        <f>B104-E104</f>
        <v>2.7517880840307285</v>
      </c>
    </row>
    <row r="105" spans="1:7" x14ac:dyDescent="0.25">
      <c r="A105" t="s">
        <v>100</v>
      </c>
      <c r="B105" s="5">
        <v>44</v>
      </c>
      <c r="C105" s="8">
        <v>0</v>
      </c>
      <c r="D105" t="s">
        <v>53</v>
      </c>
      <c r="E105" s="5">
        <v>41.248211915969272</v>
      </c>
      <c r="F105">
        <v>0</v>
      </c>
      <c r="G105" s="5">
        <f>B105-E105</f>
        <v>2.7517880840307285</v>
      </c>
    </row>
    <row r="106" spans="1:7" x14ac:dyDescent="0.25">
      <c r="A106" t="s">
        <v>117</v>
      </c>
      <c r="B106" s="5">
        <v>44</v>
      </c>
      <c r="C106" s="8">
        <v>1</v>
      </c>
      <c r="D106" t="s">
        <v>53</v>
      </c>
      <c r="E106" s="5">
        <v>41.248211915969272</v>
      </c>
      <c r="F106">
        <v>0</v>
      </c>
      <c r="G106" s="5">
        <f>B106-E106</f>
        <v>2.7517880840307285</v>
      </c>
    </row>
    <row r="107" spans="1:7" x14ac:dyDescent="0.25">
      <c r="A107" t="s">
        <v>113</v>
      </c>
      <c r="B107" s="5">
        <v>44</v>
      </c>
      <c r="C107" s="8">
        <v>1</v>
      </c>
      <c r="D107" t="s">
        <v>53</v>
      </c>
      <c r="E107" s="5">
        <v>41.248211915969272</v>
      </c>
      <c r="F107">
        <v>0</v>
      </c>
      <c r="G107" s="5">
        <f>B107-E107</f>
        <v>2.7517880840307285</v>
      </c>
    </row>
    <row r="108" spans="1:7" x14ac:dyDescent="0.25">
      <c r="A108" t="s">
        <v>79</v>
      </c>
      <c r="B108" s="5">
        <v>44</v>
      </c>
      <c r="C108" s="8">
        <v>1</v>
      </c>
      <c r="D108" t="s">
        <v>53</v>
      </c>
      <c r="E108" s="5">
        <v>41.248211915969272</v>
      </c>
      <c r="F108">
        <v>0</v>
      </c>
      <c r="G108" s="5">
        <f>B108-E108</f>
        <v>2.7517880840307285</v>
      </c>
    </row>
    <row r="109" spans="1:7" x14ac:dyDescent="0.25">
      <c r="A109" t="s">
        <v>135</v>
      </c>
      <c r="B109" s="5">
        <v>44</v>
      </c>
      <c r="C109" s="8">
        <v>1</v>
      </c>
      <c r="D109" t="s">
        <v>53</v>
      </c>
      <c r="E109" s="5">
        <v>41.248211915969272</v>
      </c>
      <c r="F109">
        <v>0</v>
      </c>
      <c r="G109" s="5">
        <f>B109-E109</f>
        <v>2.7517880840307285</v>
      </c>
    </row>
    <row r="110" spans="1:7" x14ac:dyDescent="0.25">
      <c r="A110" t="s">
        <v>85</v>
      </c>
      <c r="B110" s="5">
        <v>44</v>
      </c>
      <c r="C110" s="8">
        <v>1</v>
      </c>
      <c r="D110" t="s">
        <v>53</v>
      </c>
      <c r="E110" s="5">
        <v>41.248211915969272</v>
      </c>
      <c r="F110">
        <v>0</v>
      </c>
      <c r="G110" s="5">
        <f>B110-E110</f>
        <v>2.7517880840307285</v>
      </c>
    </row>
    <row r="111" spans="1:7" x14ac:dyDescent="0.25">
      <c r="A111" t="s">
        <v>162</v>
      </c>
      <c r="B111" s="5">
        <v>6.5</v>
      </c>
      <c r="C111" s="8">
        <v>1</v>
      </c>
      <c r="D111" t="s">
        <v>161</v>
      </c>
      <c r="E111" s="5">
        <v>3.7257399320718099</v>
      </c>
      <c r="F111">
        <v>1</v>
      </c>
      <c r="G111" s="5">
        <f>B111-E111</f>
        <v>2.7742600679281901</v>
      </c>
    </row>
    <row r="112" spans="1:7" x14ac:dyDescent="0.25">
      <c r="A112" t="s">
        <v>56</v>
      </c>
      <c r="B112" s="5">
        <v>44.25</v>
      </c>
      <c r="C112" s="8">
        <v>1</v>
      </c>
      <c r="D112" t="s">
        <v>53</v>
      </c>
      <c r="E112" s="5">
        <v>41.248211915969272</v>
      </c>
      <c r="F112">
        <v>0</v>
      </c>
      <c r="G112" s="5">
        <f>B112-E112</f>
        <v>3.0017880840307285</v>
      </c>
    </row>
    <row r="113" spans="1:7" x14ac:dyDescent="0.25">
      <c r="A113" t="s">
        <v>54</v>
      </c>
      <c r="B113" s="5">
        <v>44.25</v>
      </c>
      <c r="C113" s="8">
        <v>1</v>
      </c>
      <c r="D113" t="s">
        <v>53</v>
      </c>
      <c r="E113" s="5">
        <v>41.248211915969272</v>
      </c>
      <c r="F113">
        <v>0</v>
      </c>
      <c r="G113" s="5">
        <f>B113-E113</f>
        <v>3.0017880840307285</v>
      </c>
    </row>
    <row r="114" spans="1:7" x14ac:dyDescent="0.25">
      <c r="A114" t="s">
        <v>55</v>
      </c>
      <c r="B114" s="5">
        <v>44.25</v>
      </c>
      <c r="C114" s="8">
        <v>1</v>
      </c>
      <c r="D114" t="s">
        <v>53</v>
      </c>
      <c r="E114" s="5">
        <v>41.248211915969272</v>
      </c>
      <c r="F114">
        <v>0</v>
      </c>
      <c r="G114" s="5">
        <f>B114-E114</f>
        <v>3.0017880840307285</v>
      </c>
    </row>
    <row r="115" spans="1:7" x14ac:dyDescent="0.25">
      <c r="A115" t="s">
        <v>52</v>
      </c>
      <c r="B115" s="5">
        <v>44.25</v>
      </c>
      <c r="C115" s="8">
        <v>1</v>
      </c>
      <c r="D115" t="s">
        <v>53</v>
      </c>
      <c r="E115" s="5">
        <v>41.248211915969272</v>
      </c>
      <c r="F115">
        <v>0</v>
      </c>
      <c r="G115" s="5">
        <f>B115-E115</f>
        <v>3.0017880840307285</v>
      </c>
    </row>
    <row r="116" spans="1:7" x14ac:dyDescent="0.25">
      <c r="A116" t="s">
        <v>146</v>
      </c>
      <c r="B116" s="5">
        <v>45</v>
      </c>
      <c r="C116" s="8">
        <v>1</v>
      </c>
      <c r="D116" t="s">
        <v>53</v>
      </c>
      <c r="E116" s="5">
        <v>41.248211915969272</v>
      </c>
      <c r="F116">
        <v>0</v>
      </c>
      <c r="G116" s="5">
        <f>B116-E116</f>
        <v>3.7517880840307285</v>
      </c>
    </row>
    <row r="117" spans="1:7" x14ac:dyDescent="0.25">
      <c r="A117" t="s">
        <v>169</v>
      </c>
      <c r="B117" s="5">
        <v>45</v>
      </c>
      <c r="C117" s="8">
        <v>1</v>
      </c>
      <c r="D117" t="s">
        <v>168</v>
      </c>
      <c r="E117" s="5">
        <v>39.666666666666664</v>
      </c>
      <c r="F117">
        <v>1</v>
      </c>
      <c r="G117" s="5">
        <f>B117-E117</f>
        <v>5.3333333333333357</v>
      </c>
    </row>
    <row r="118" spans="1:7" x14ac:dyDescent="0.25">
      <c r="A118" t="s">
        <v>182</v>
      </c>
      <c r="B118" s="5">
        <v>35</v>
      </c>
      <c r="C118" s="8">
        <v>1</v>
      </c>
      <c r="D118" t="s">
        <v>181</v>
      </c>
      <c r="E118" s="5">
        <v>28.326666666666668</v>
      </c>
      <c r="F118">
        <v>1</v>
      </c>
      <c r="G118" s="5">
        <f>B118-E118</f>
        <v>6.673333333333332</v>
      </c>
    </row>
    <row r="119" spans="1:7" x14ac:dyDescent="0.25">
      <c r="A119" t="s">
        <v>183</v>
      </c>
      <c r="B119" s="5">
        <v>35</v>
      </c>
      <c r="C119" s="8">
        <v>1</v>
      </c>
      <c r="D119" t="s">
        <v>181</v>
      </c>
      <c r="E119" s="5">
        <v>28.326666666666668</v>
      </c>
      <c r="F119">
        <v>1</v>
      </c>
      <c r="G119" s="5">
        <f>B119-E119</f>
        <v>6.673333333333332</v>
      </c>
    </row>
    <row r="120" spans="1:7" x14ac:dyDescent="0.25">
      <c r="A120" t="s">
        <v>83</v>
      </c>
      <c r="B120" s="5">
        <v>48</v>
      </c>
      <c r="C120" s="8">
        <v>0</v>
      </c>
      <c r="D120" t="s">
        <v>53</v>
      </c>
      <c r="E120" s="5">
        <v>41.248211915969272</v>
      </c>
      <c r="F120">
        <v>0</v>
      </c>
      <c r="G120" s="5">
        <f>B120-E120</f>
        <v>6.7517880840307285</v>
      </c>
    </row>
    <row r="121" spans="1:7" x14ac:dyDescent="0.25">
      <c r="A121" t="s">
        <v>118</v>
      </c>
      <c r="B121" s="5">
        <v>48</v>
      </c>
      <c r="C121" s="8">
        <v>1</v>
      </c>
      <c r="D121" t="s">
        <v>53</v>
      </c>
      <c r="E121" s="5">
        <v>41.248211915969272</v>
      </c>
      <c r="F121">
        <v>0</v>
      </c>
      <c r="G121" s="5">
        <f>B121-E121</f>
        <v>6.7517880840307285</v>
      </c>
    </row>
    <row r="122" spans="1:7" x14ac:dyDescent="0.25">
      <c r="A122" t="s">
        <v>136</v>
      </c>
      <c r="B122" s="5">
        <v>48</v>
      </c>
      <c r="C122" s="8">
        <v>1</v>
      </c>
      <c r="D122" t="s">
        <v>53</v>
      </c>
      <c r="E122" s="5">
        <v>41.248211915969272</v>
      </c>
      <c r="F122">
        <v>0</v>
      </c>
      <c r="G122" s="5">
        <f>B122-E122</f>
        <v>6.7517880840307285</v>
      </c>
    </row>
    <row r="123" spans="1:7" x14ac:dyDescent="0.25">
      <c r="A123" t="s">
        <v>97</v>
      </c>
      <c r="B123" s="5">
        <v>57</v>
      </c>
      <c r="C123" s="8">
        <v>0</v>
      </c>
      <c r="D123" t="s">
        <v>53</v>
      </c>
      <c r="E123" s="5">
        <v>41.248211915969272</v>
      </c>
      <c r="F123">
        <v>0</v>
      </c>
      <c r="G123" s="5">
        <f>B123-E123</f>
        <v>15.751788084030728</v>
      </c>
    </row>
    <row r="124" spans="1:7" x14ac:dyDescent="0.25">
      <c r="A124" t="s">
        <v>102</v>
      </c>
      <c r="B124" s="5">
        <v>57</v>
      </c>
      <c r="C124" s="8">
        <v>0</v>
      </c>
      <c r="D124" t="s">
        <v>53</v>
      </c>
      <c r="E124" s="5">
        <v>41.248211915969272</v>
      </c>
      <c r="F124">
        <v>0</v>
      </c>
      <c r="G124" s="5">
        <f>B124-E124</f>
        <v>15.751788084030728</v>
      </c>
    </row>
    <row r="125" spans="1:7" x14ac:dyDescent="0.25">
      <c r="A125" t="s">
        <v>96</v>
      </c>
      <c r="B125" s="5">
        <v>57</v>
      </c>
      <c r="C125" s="8">
        <v>0</v>
      </c>
      <c r="D125" t="s">
        <v>53</v>
      </c>
      <c r="E125" s="5">
        <v>41.248211915969272</v>
      </c>
      <c r="F125">
        <v>0</v>
      </c>
      <c r="G125" s="5">
        <f>B125-E125</f>
        <v>15.751788084030728</v>
      </c>
    </row>
    <row r="126" spans="1:7" x14ac:dyDescent="0.25">
      <c r="A126" t="s">
        <v>112</v>
      </c>
      <c r="B126" s="5">
        <v>57</v>
      </c>
      <c r="C126" s="8">
        <v>1</v>
      </c>
      <c r="D126" t="s">
        <v>53</v>
      </c>
      <c r="E126" s="5">
        <v>41.248211915969272</v>
      </c>
      <c r="F126">
        <v>0</v>
      </c>
      <c r="G126" s="5">
        <f>B126-E126</f>
        <v>15.751788084030728</v>
      </c>
    </row>
    <row r="127" spans="1:7" x14ac:dyDescent="0.25">
      <c r="A127" t="s">
        <v>131</v>
      </c>
      <c r="B127" s="5">
        <v>57</v>
      </c>
      <c r="C127" s="8">
        <v>1</v>
      </c>
      <c r="D127" t="s">
        <v>53</v>
      </c>
      <c r="E127" s="5">
        <v>41.248211915969272</v>
      </c>
      <c r="F127">
        <v>0</v>
      </c>
      <c r="G127" s="5">
        <f>B127-E127</f>
        <v>15.751788084030728</v>
      </c>
    </row>
    <row r="128" spans="1:7" x14ac:dyDescent="0.25">
      <c r="A128" t="s">
        <v>116</v>
      </c>
      <c r="B128" s="5">
        <v>57</v>
      </c>
      <c r="C128" s="8">
        <v>1</v>
      </c>
      <c r="D128" t="s">
        <v>53</v>
      </c>
      <c r="E128" s="5">
        <v>41.248211915969272</v>
      </c>
      <c r="F128">
        <v>0</v>
      </c>
      <c r="G128" s="5">
        <f>B128-E128</f>
        <v>15.751788084030728</v>
      </c>
    </row>
    <row r="129" spans="1:7" x14ac:dyDescent="0.25">
      <c r="A129" t="s">
        <v>124</v>
      </c>
      <c r="B129" s="5">
        <v>57</v>
      </c>
      <c r="C129" s="8">
        <v>1</v>
      </c>
      <c r="D129" t="s">
        <v>53</v>
      </c>
      <c r="E129" s="5">
        <v>41.248211915969272</v>
      </c>
      <c r="F129">
        <v>0</v>
      </c>
      <c r="G129" s="5">
        <f>B129-E129</f>
        <v>15.751788084030728</v>
      </c>
    </row>
    <row r="130" spans="1:7" x14ac:dyDescent="0.25">
      <c r="A130" t="s">
        <v>45</v>
      </c>
      <c r="B130" s="5">
        <v>35</v>
      </c>
      <c r="C130" s="8">
        <v>1</v>
      </c>
      <c r="D130" t="s">
        <v>44</v>
      </c>
      <c r="E130" s="5">
        <v>18.136363636363637</v>
      </c>
      <c r="F130">
        <v>1</v>
      </c>
      <c r="G130" s="5">
        <f>B130-E130</f>
        <v>16.863636363636363</v>
      </c>
    </row>
    <row r="131" spans="1:7" x14ac:dyDescent="0.25">
      <c r="A131" t="s">
        <v>51</v>
      </c>
      <c r="B131" s="5">
        <v>44</v>
      </c>
      <c r="C131" s="8">
        <v>0</v>
      </c>
      <c r="D131" t="s">
        <v>50</v>
      </c>
      <c r="E131" s="5">
        <v>22.636363636363637</v>
      </c>
      <c r="F131">
        <v>0</v>
      </c>
      <c r="G131" s="5">
        <f>B131-E131</f>
        <v>21.363636363636363</v>
      </c>
    </row>
    <row r="132" spans="1:7" x14ac:dyDescent="0.25">
      <c r="A132" t="s">
        <v>101</v>
      </c>
      <c r="B132" s="5">
        <v>68</v>
      </c>
      <c r="C132" s="8">
        <v>0</v>
      </c>
      <c r="D132" t="s">
        <v>53</v>
      </c>
      <c r="E132" s="5">
        <v>41.248211915969272</v>
      </c>
      <c r="F132">
        <v>0</v>
      </c>
      <c r="G132" s="5">
        <f>B132-E132</f>
        <v>26.751788084030728</v>
      </c>
    </row>
    <row r="133" spans="1:7" x14ac:dyDescent="0.25">
      <c r="A133" t="s">
        <v>78</v>
      </c>
      <c r="B133" s="5">
        <v>68</v>
      </c>
      <c r="C133" s="8">
        <v>1</v>
      </c>
      <c r="D133" t="s">
        <v>53</v>
      </c>
      <c r="E133" s="5">
        <v>41.248211915969272</v>
      </c>
      <c r="F133">
        <v>0</v>
      </c>
      <c r="G133" s="5">
        <f>B133-E133</f>
        <v>26.751788084030728</v>
      </c>
    </row>
    <row r="134" spans="1:7" x14ac:dyDescent="0.25">
      <c r="A134" t="s">
        <v>132</v>
      </c>
      <c r="B134" s="5">
        <v>68</v>
      </c>
      <c r="C134" s="8">
        <v>1</v>
      </c>
      <c r="D134" t="s">
        <v>53</v>
      </c>
      <c r="E134" s="5">
        <v>41.248211915969272</v>
      </c>
      <c r="F134">
        <v>0</v>
      </c>
      <c r="G134" s="5">
        <f>B134-E134</f>
        <v>26.751788084030728</v>
      </c>
    </row>
    <row r="135" spans="1:7" x14ac:dyDescent="0.25">
      <c r="A135" t="s">
        <v>122</v>
      </c>
      <c r="B135" s="5">
        <v>68</v>
      </c>
      <c r="C135" s="8">
        <v>1</v>
      </c>
      <c r="D135" t="s">
        <v>53</v>
      </c>
      <c r="E135" s="5">
        <v>41.248211915969272</v>
      </c>
      <c r="F135">
        <v>0</v>
      </c>
      <c r="G135" s="5">
        <f>B135-E135</f>
        <v>26.751788084030728</v>
      </c>
    </row>
    <row r="136" spans="1:7" x14ac:dyDescent="0.25">
      <c r="A136" t="s">
        <v>94</v>
      </c>
      <c r="B136" s="5">
        <v>68</v>
      </c>
      <c r="C136" s="8">
        <v>1</v>
      </c>
      <c r="D136" t="s">
        <v>53</v>
      </c>
      <c r="E136" s="5">
        <v>41.248211915969272</v>
      </c>
      <c r="F136">
        <v>0</v>
      </c>
      <c r="G136" s="5">
        <f>B136-E136</f>
        <v>26.751788084030728</v>
      </c>
    </row>
    <row r="137" spans="1:7" x14ac:dyDescent="0.25">
      <c r="A137" t="s">
        <v>103</v>
      </c>
      <c r="B137" s="5">
        <v>68</v>
      </c>
      <c r="C137" s="8">
        <v>1</v>
      </c>
      <c r="D137" t="s">
        <v>53</v>
      </c>
      <c r="E137" s="5">
        <v>41.248211915969272</v>
      </c>
      <c r="F137">
        <v>0</v>
      </c>
      <c r="G137" s="5">
        <f>B137-E137</f>
        <v>26.751788084030728</v>
      </c>
    </row>
    <row r="138" spans="1:7" x14ac:dyDescent="0.25">
      <c r="A138" t="s">
        <v>121</v>
      </c>
      <c r="B138" s="5">
        <v>68</v>
      </c>
      <c r="C138" s="8">
        <v>1</v>
      </c>
      <c r="D138" t="s">
        <v>53</v>
      </c>
      <c r="E138" s="5">
        <v>41.248211915969272</v>
      </c>
      <c r="F138">
        <v>0</v>
      </c>
      <c r="G138" s="5">
        <f>B138-E138</f>
        <v>26.751788084030728</v>
      </c>
    </row>
    <row r="139" spans="1:7" x14ac:dyDescent="0.25">
      <c r="A139" t="s">
        <v>165</v>
      </c>
      <c r="B139" s="5">
        <v>37</v>
      </c>
      <c r="C139" s="8">
        <v>1</v>
      </c>
      <c r="D139" t="s">
        <v>164</v>
      </c>
      <c r="E139" s="5">
        <v>10.002856071633365</v>
      </c>
      <c r="F139">
        <v>1</v>
      </c>
      <c r="G139" s="5">
        <f>B139-E139</f>
        <v>26.997143928366633</v>
      </c>
    </row>
    <row r="140" spans="1:7" x14ac:dyDescent="0.25">
      <c r="A140" t="s">
        <v>127</v>
      </c>
      <c r="B140" s="5">
        <v>69</v>
      </c>
      <c r="C140" s="8">
        <v>1</v>
      </c>
      <c r="D140" t="s">
        <v>53</v>
      </c>
      <c r="E140" s="5">
        <v>41.248211915969272</v>
      </c>
      <c r="F140">
        <v>0</v>
      </c>
      <c r="G140" s="5">
        <f>B140-E140</f>
        <v>27.751788084030728</v>
      </c>
    </row>
    <row r="141" spans="1:7" x14ac:dyDescent="0.25">
      <c r="A141" t="s">
        <v>95</v>
      </c>
      <c r="B141" s="5">
        <v>77</v>
      </c>
      <c r="C141" s="8">
        <v>0</v>
      </c>
      <c r="D141" t="s">
        <v>53</v>
      </c>
      <c r="E141" s="5">
        <v>41.248211915969272</v>
      </c>
      <c r="F141">
        <v>0</v>
      </c>
      <c r="G141" s="5">
        <f>B141-E141</f>
        <v>35.751788084030728</v>
      </c>
    </row>
    <row r="142" spans="1:7" x14ac:dyDescent="0.25">
      <c r="A142" t="s">
        <v>134</v>
      </c>
      <c r="B142" s="5">
        <v>83</v>
      </c>
      <c r="C142" s="8">
        <v>0</v>
      </c>
      <c r="D142" t="s">
        <v>53</v>
      </c>
      <c r="E142" s="5">
        <v>41.248211915969272</v>
      </c>
      <c r="F142">
        <v>0</v>
      </c>
      <c r="G142" s="5">
        <f>B142-E142</f>
        <v>41.751788084030728</v>
      </c>
    </row>
    <row r="143" spans="1:7" x14ac:dyDescent="0.25">
      <c r="A143" t="s">
        <v>133</v>
      </c>
      <c r="B143" s="5">
        <v>83</v>
      </c>
      <c r="C143" s="8">
        <v>0</v>
      </c>
      <c r="D143" t="s">
        <v>53</v>
      </c>
      <c r="E143" s="5">
        <v>41.248211915969272</v>
      </c>
      <c r="F143">
        <v>0</v>
      </c>
      <c r="G143" s="5">
        <f>B143-E143</f>
        <v>41.751788084030728</v>
      </c>
    </row>
    <row r="144" spans="1:7" x14ac:dyDescent="0.25">
      <c r="A144" t="s">
        <v>144</v>
      </c>
      <c r="B144" s="5">
        <v>83</v>
      </c>
      <c r="C144" s="8">
        <v>1</v>
      </c>
      <c r="D144" t="s">
        <v>53</v>
      </c>
      <c r="E144" s="5">
        <v>41.248211915969272</v>
      </c>
      <c r="F144">
        <v>0</v>
      </c>
      <c r="G144" s="5">
        <f>B144-E144</f>
        <v>41.751788084030728</v>
      </c>
    </row>
    <row r="145" spans="1:7" x14ac:dyDescent="0.25">
      <c r="A145" t="s">
        <v>149</v>
      </c>
      <c r="B145" s="5">
        <v>83</v>
      </c>
      <c r="C145" s="8">
        <v>1</v>
      </c>
      <c r="D145" t="s">
        <v>53</v>
      </c>
      <c r="E145" s="5">
        <v>41.248211915969272</v>
      </c>
      <c r="F145">
        <v>0</v>
      </c>
      <c r="G145" s="5">
        <f>B145-E145</f>
        <v>41.751788084030728</v>
      </c>
    </row>
    <row r="146" spans="1:7" x14ac:dyDescent="0.25">
      <c r="A146" t="s">
        <v>110</v>
      </c>
      <c r="B146" s="5">
        <v>83</v>
      </c>
      <c r="C146" s="8">
        <v>1</v>
      </c>
      <c r="D146" t="s">
        <v>53</v>
      </c>
      <c r="E146" s="5">
        <v>41.248211915969272</v>
      </c>
      <c r="F146">
        <v>0</v>
      </c>
      <c r="G146" s="5">
        <f>B146-E146</f>
        <v>41.751788084030728</v>
      </c>
    </row>
    <row r="147" spans="1:7" x14ac:dyDescent="0.25">
      <c r="A147" t="s">
        <v>105</v>
      </c>
      <c r="B147" s="5">
        <v>83</v>
      </c>
      <c r="C147" s="8">
        <v>1</v>
      </c>
      <c r="D147" t="s">
        <v>53</v>
      </c>
      <c r="E147" s="5">
        <v>41.248211915969272</v>
      </c>
      <c r="F147">
        <v>0</v>
      </c>
      <c r="G147" s="5">
        <f>B147-E147</f>
        <v>41.751788084030728</v>
      </c>
    </row>
    <row r="148" spans="1:7" x14ac:dyDescent="0.25">
      <c r="A148" t="s">
        <v>81</v>
      </c>
      <c r="B148" s="5">
        <v>115.5</v>
      </c>
      <c r="C148" s="8">
        <v>0</v>
      </c>
      <c r="D148" t="s">
        <v>53</v>
      </c>
      <c r="E148" s="5">
        <v>41.248211915969272</v>
      </c>
      <c r="F148">
        <v>0</v>
      </c>
      <c r="G148" s="5">
        <f>B148-E148</f>
        <v>74.251788084030721</v>
      </c>
    </row>
    <row r="149" spans="1:7" x14ac:dyDescent="0.25">
      <c r="A149" t="s">
        <v>76</v>
      </c>
      <c r="B149" s="5">
        <v>115.5</v>
      </c>
      <c r="C149" s="8">
        <v>0</v>
      </c>
      <c r="D149" t="s">
        <v>53</v>
      </c>
      <c r="E149" s="5">
        <v>41.248211915969272</v>
      </c>
      <c r="F149">
        <v>0</v>
      </c>
      <c r="G149" s="5">
        <f>B149-E149</f>
        <v>74.251788084030721</v>
      </c>
    </row>
    <row r="150" spans="1:7" x14ac:dyDescent="0.25">
      <c r="A150" t="s">
        <v>104</v>
      </c>
      <c r="B150" s="5">
        <v>115.5</v>
      </c>
      <c r="C150" s="8">
        <v>0</v>
      </c>
      <c r="D150" t="s">
        <v>53</v>
      </c>
      <c r="E150" s="5">
        <v>41.248211915969272</v>
      </c>
      <c r="F150">
        <v>0</v>
      </c>
      <c r="G150" s="5">
        <f>B150-E150</f>
        <v>74.251788084030721</v>
      </c>
    </row>
    <row r="151" spans="1:7" x14ac:dyDescent="0.25">
      <c r="A151" t="s">
        <v>111</v>
      </c>
      <c r="B151" s="5">
        <v>115.5</v>
      </c>
      <c r="C151" s="8">
        <v>1</v>
      </c>
      <c r="D151" t="s">
        <v>53</v>
      </c>
      <c r="E151" s="5">
        <v>41.248211915969272</v>
      </c>
      <c r="F151">
        <v>0</v>
      </c>
      <c r="G151" s="5">
        <f>B151-E151</f>
        <v>74.251788084030721</v>
      </c>
    </row>
    <row r="152" spans="1:7" x14ac:dyDescent="0.25">
      <c r="A152" t="s">
        <v>107</v>
      </c>
      <c r="B152" s="5">
        <v>115.5</v>
      </c>
      <c r="C152" s="8">
        <v>1</v>
      </c>
      <c r="D152" t="s">
        <v>53</v>
      </c>
      <c r="E152" s="5">
        <v>41.248211915969272</v>
      </c>
      <c r="F152">
        <v>0</v>
      </c>
      <c r="G152" s="5">
        <f>B152-E152</f>
        <v>74.251788084030721</v>
      </c>
    </row>
    <row r="153" spans="1:7" x14ac:dyDescent="0.25">
      <c r="A153" t="s">
        <v>126</v>
      </c>
      <c r="B153" s="5">
        <v>115.5</v>
      </c>
      <c r="C153" s="8">
        <v>1</v>
      </c>
      <c r="D153" t="s">
        <v>53</v>
      </c>
      <c r="E153" s="5">
        <v>41.248211915969272</v>
      </c>
      <c r="F153">
        <v>0</v>
      </c>
      <c r="G153" s="5">
        <f>B153-E153</f>
        <v>74.251788084030721</v>
      </c>
    </row>
    <row r="154" spans="1:7" x14ac:dyDescent="0.25">
      <c r="A154" t="s">
        <v>80</v>
      </c>
      <c r="B154" s="5">
        <v>115.5</v>
      </c>
      <c r="C154" s="8">
        <v>1</v>
      </c>
      <c r="D154" t="s">
        <v>53</v>
      </c>
      <c r="E154" s="5">
        <v>41.248211915969272</v>
      </c>
      <c r="F154">
        <v>0</v>
      </c>
      <c r="G154" s="5">
        <f>B154-E154</f>
        <v>74.251788084030721</v>
      </c>
    </row>
    <row r="155" spans="1:7" x14ac:dyDescent="0.25">
      <c r="A155" t="s">
        <v>130</v>
      </c>
      <c r="B155" s="5">
        <v>115.5</v>
      </c>
      <c r="C155" s="8">
        <v>1</v>
      </c>
      <c r="D155" t="s">
        <v>53</v>
      </c>
      <c r="E155" s="5">
        <v>41.248211915969272</v>
      </c>
      <c r="F155">
        <v>0</v>
      </c>
      <c r="G155" s="5">
        <f>B155-E155</f>
        <v>74.251788084030721</v>
      </c>
    </row>
    <row r="156" spans="1:7" x14ac:dyDescent="0.25">
      <c r="A156" t="s">
        <v>119</v>
      </c>
      <c r="B156" s="5">
        <v>149</v>
      </c>
      <c r="C156" s="8">
        <v>0</v>
      </c>
      <c r="D156" t="s">
        <v>53</v>
      </c>
      <c r="E156" s="5">
        <v>41.248211915969272</v>
      </c>
      <c r="F156">
        <v>0</v>
      </c>
      <c r="G156" s="5">
        <f>B156-E156</f>
        <v>107.75178808403072</v>
      </c>
    </row>
    <row r="157" spans="1:7" x14ac:dyDescent="0.25">
      <c r="A157" t="s">
        <v>148</v>
      </c>
      <c r="B157" s="5">
        <v>150</v>
      </c>
      <c r="C157" s="8">
        <v>0</v>
      </c>
      <c r="D157" t="s">
        <v>53</v>
      </c>
      <c r="E157" s="5">
        <v>41.248211915969272</v>
      </c>
      <c r="F157">
        <v>0</v>
      </c>
      <c r="G157" s="5">
        <f>B157-E157</f>
        <v>108.75178808403072</v>
      </c>
    </row>
  </sheetData>
  <autoFilter ref="A1:G157" xr:uid="{A85F18DB-D1DA-4C20-9CDB-58BF1B15F015}">
    <sortState xmlns:xlrd2="http://schemas.microsoft.com/office/spreadsheetml/2017/richdata2" ref="A2:G157">
      <sortCondition ref="G1:G157"/>
    </sortState>
  </autoFilter>
  <conditionalFormatting sqref="A1:A156 A158:A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2025-07-23T08:07:23Z</dcterms:created>
  <dcterms:modified xsi:type="dcterms:W3CDTF">2025-07-25T12:04:09Z</dcterms:modified>
</cp:coreProperties>
</file>